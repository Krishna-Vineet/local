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Assumptions" sheetId="3" state="visible" r:id="rId3"/>
    <sheet name="Dev_Investment" sheetId="4" state="visible" r:id="rId4"/>
    <sheet name="Team_Costs" sheetId="5" state="visible" r:id="rId5"/>
    <sheet name="Infrastructure" sheetId="6" state="visible" r:id="rId6"/>
    <sheet name="Tools_Subscriptions" sheetId="7" state="visible" r:id="rId7"/>
    <sheet name="Payments_Fees" sheetId="8" state="visible" r:id="rId8"/>
    <sheet name="Marketing_Support" sheetId="9" state="visible" r:id="rId9"/>
    <sheet name="Monthly_Forecast" sheetId="10" state="visible" r:id="rId10"/>
    <sheet name="Scenarios" sheetId="11" state="visible" r:id="rId11"/>
    <sheet name="Actual_vs_Forecas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&quot;₹&quot;#,##0"/>
    <numFmt numFmtId="166" formatCode="&quot;$&quot;#,##0"/>
    <numFmt numFmtId="167" formatCode="&quot;₹&quot;#,##0.00"/>
    <numFmt numFmtId="168" formatCode="&quot;$&quot;#,##0.00"/>
  </numFmts>
  <fonts count="9">
    <font>
      <name val="Calibri"/>
      <family val="2"/>
      <color theme="1"/>
      <sz val="11"/>
      <scheme val="minor"/>
    </font>
    <font>
      <b val="1"/>
      <color rgb="001F2937"/>
      <sz val="18"/>
    </font>
    <font>
      <i val="1"/>
      <color rgb="006B7280"/>
      <sz val="10"/>
    </font>
    <font>
      <b val="1"/>
      <color rgb="00FFFFFF"/>
      <sz val="10"/>
    </font>
    <font>
      <b val="1"/>
      <color rgb="001F2937"/>
      <sz val="10"/>
    </font>
    <font>
      <color rgb="001F2937"/>
      <sz val="10"/>
    </font>
    <font>
      <i val="1"/>
      <color rgb="006B7280"/>
      <sz val="9"/>
    </font>
    <font>
      <b val="1"/>
      <color rgb="000F766E"/>
      <sz val="11"/>
    </font>
    <font>
      <b val="1"/>
      <color rgb="000F766E"/>
      <sz val="12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CC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5" fillId="4" borderId="1" pivotButton="0" quotePrefix="0" xfId="0"/>
    <xf numFmtId="0" fontId="5" fillId="0" borderId="1" applyAlignment="1" pivotButton="0" quotePrefix="0" xfId="0">
      <alignment horizontal="general" vertical="top" wrapText="1"/>
    </xf>
    <xf numFmtId="3" fontId="5" fillId="4" borderId="1" pivotButton="0" quotePrefix="0" xfId="0"/>
    <xf numFmtId="0" fontId="6" fillId="0" borderId="0" applyAlignment="1" pivotButton="0" quotePrefix="0" xfId="0">
      <alignment vertical="top" wrapText="1"/>
    </xf>
    <xf numFmtId="3" fontId="5" fillId="3" borderId="1" pivotButton="0" quotePrefix="0" xfId="0"/>
    <xf numFmtId="0" fontId="5" fillId="0" borderId="1" pivotButton="0" quotePrefix="0" xfId="0"/>
    <xf numFmtId="4" fontId="5" fillId="3" borderId="1" pivotButton="0" quotePrefix="0" xfId="0"/>
    <xf numFmtId="164" fontId="5" fillId="3" borderId="1" pivotButton="0" quotePrefix="0" xfId="0"/>
    <xf numFmtId="0" fontId="4" fillId="5" borderId="1" pivotButton="0" quotePrefix="0" xfId="0"/>
    <xf numFmtId="3" fontId="4" fillId="5" borderId="1" pivotButton="0" quotePrefix="0" xfId="0"/>
    <xf numFmtId="0" fontId="5" fillId="5" borderId="1" pivotButton="0" quotePrefix="0" xfId="0"/>
    <xf numFmtId="165" fontId="4" fillId="5" borderId="1" pivotButton="0" quotePrefix="0" xfId="0"/>
    <xf numFmtId="0" fontId="5" fillId="5" borderId="1" applyAlignment="1" pivotButton="0" quotePrefix="0" xfId="0">
      <alignment horizontal="general" vertical="top" wrapText="1"/>
    </xf>
    <xf numFmtId="0" fontId="7" fillId="6" borderId="1" pivotButton="0" quotePrefix="0" xfId="0"/>
    <xf numFmtId="0" fontId="0" fillId="6" borderId="1" pivotButton="0" quotePrefix="0" xfId="0"/>
    <xf numFmtId="165" fontId="5" fillId="3" borderId="1" pivotButton="0" quotePrefix="0" xfId="0"/>
    <xf numFmtId="3" fontId="5" fillId="0" borderId="1" pivotButton="0" quotePrefix="0" xfId="0"/>
    <xf numFmtId="166" fontId="5" fillId="3" borderId="1" pivotButton="0" quotePrefix="0" xfId="0"/>
    <xf numFmtId="166" fontId="4" fillId="5" borderId="1" pivotButton="0" quotePrefix="0" xfId="0"/>
    <xf numFmtId="167" fontId="4" fillId="5" borderId="1" pivotButton="0" quotePrefix="0" xfId="0"/>
    <xf numFmtId="168" fontId="5" fillId="0" borderId="1" pivotButton="0" quotePrefix="0" xfId="0"/>
    <xf numFmtId="164" fontId="5" fillId="4" borderId="1" pivotButton="0" quotePrefix="0" xfId="0"/>
    <xf numFmtId="4" fontId="5" fillId="4" borderId="1" pivotButton="0" quotePrefix="0" xfId="0"/>
    <xf numFmtId="164" fontId="5" fillId="0" borderId="1" pivotButton="0" quotePrefix="0" xfId="0"/>
    <xf numFmtId="167" fontId="5" fillId="0" borderId="1" pivotButton="0" quotePrefix="0" xfId="0"/>
    <xf numFmtId="0" fontId="5" fillId="3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8" customWidth="1" min="2" max="2"/>
  </cols>
  <sheetData>
    <row r="1">
      <c r="A1" s="1" t="inlineStr">
        <is>
          <t>Financial Model — README</t>
        </is>
      </c>
    </row>
    <row r="2">
      <c r="A2" s="2" t="inlineStr">
        <is>
          <t>HappyPix V2 · prepared 2026-10-23 · INR unless stated · figures are planning estimates</t>
        </is>
      </c>
    </row>
    <row r="4" ht="15" customHeight="1">
      <c r="B4" s="3" t="inlineStr">
        <is>
          <t>HappyPix — Complete Expenditure &amp; Financial Model</t>
        </is>
      </c>
    </row>
    <row r="5" ht="15" customHeight="1">
      <c r="B5" s="4" t="inlineStr">
        <is>
          <t>Companion to business/SCALABILITY_PLAN.md and business/UNIT_ECONOMICS.xlsx</t>
        </is>
      </c>
    </row>
    <row r="6" ht="15" customHeight="1">
      <c r="B6" s="5" t="inlineStr"/>
    </row>
    <row r="7" ht="15" customHeight="1">
      <c r="B7" s="6" t="inlineStr">
        <is>
          <t>How to use this workbook</t>
        </is>
      </c>
    </row>
    <row r="8" ht="15" customHeight="1">
      <c r="B8" s="5" t="inlineStr">
        <is>
          <t>1. Open the Assumptions sheet. Every yellow cell is editable.</t>
        </is>
      </c>
    </row>
    <row r="9" ht="15" customHeight="1">
      <c r="B9" s="5" t="inlineStr">
        <is>
          <t>2. Monthly_Forecast recalculates 48 months of P&amp;L, cash and runway.</t>
        </is>
      </c>
    </row>
    <row r="10" ht="15" customHeight="1">
      <c r="B10" s="5" t="inlineStr">
        <is>
          <t>3. Team_Costs drives the salary lines; change headcount there, not in the forecast.</t>
        </is>
      </c>
    </row>
    <row r="11" ht="15" customHeight="1">
      <c r="B11" s="5" t="inlineStr">
        <is>
          <t>4. Infrastructure holds the four growth-stage run-rates (USD), converted at the FX rate.</t>
        </is>
      </c>
    </row>
    <row r="12" ht="15" customHeight="1">
      <c r="B12" s="5" t="inlineStr">
        <is>
          <t>5. Actual_vs_Forecast is for monthly bookkeeping — paste real revenue and read the variance.</t>
        </is>
      </c>
    </row>
    <row r="13" ht="15" customHeight="1">
      <c r="B13" s="5" t="inlineStr"/>
    </row>
    <row r="14" ht="15" customHeight="1">
      <c r="B14" s="6" t="inlineStr">
        <is>
          <t>Colour convention</t>
        </is>
      </c>
    </row>
    <row r="15" ht="15" customHeight="1">
      <c r="B15" s="5" t="inlineStr">
        <is>
          <t>Yellow = input you may change.  Grey = formula.  Green = total or key result.</t>
        </is>
      </c>
    </row>
    <row r="16" ht="15" customHeight="1">
      <c r="B16" s="5" t="inlineStr"/>
    </row>
    <row r="17" ht="15" customHeight="1">
      <c r="B17" s="6" t="inlineStr">
        <is>
          <t>Workbook map</t>
        </is>
      </c>
    </row>
    <row r="18" ht="15" customHeight="1">
      <c r="B18" s="5" t="inlineStr">
        <is>
          <t>Assumptions — FX, ARPU, churn, fees, CAC, overheads.</t>
        </is>
      </c>
    </row>
    <row r="19" ht="15" customHeight="1">
      <c r="B19" s="5" t="inlineStr">
        <is>
          <t>Dev_Investment — what has been spent to date, and remaining launch costs.</t>
        </is>
      </c>
    </row>
    <row r="20" ht="15" customHeight="1">
      <c r="B20" s="5" t="inlineStr">
        <is>
          <t>Team_Costs — 15 roles × 4 hiring phases, with employer overhead.</t>
        </is>
      </c>
    </row>
    <row r="21" ht="15" customHeight="1">
      <c r="B21" s="5" t="inlineStr">
        <is>
          <t>Infrastructure — cloud run-rate at 10K / 100K / 1M / 10M users.</t>
        </is>
      </c>
    </row>
    <row r="22" ht="15" customHeight="1">
      <c r="B22" s="5" t="inlineStr">
        <is>
          <t>Tools_Subscriptions — SaaS, signing, legal, insurance, domains.</t>
        </is>
      </c>
    </row>
    <row r="23" ht="15" customHeight="1">
      <c r="B23" s="5" t="inlineStr">
        <is>
          <t>Payments_Fees — MDR, refunds, chargebacks, GST, compliance.</t>
        </is>
      </c>
    </row>
    <row r="24" ht="15" customHeight="1">
      <c r="B24" s="5" t="inlineStr">
        <is>
          <t>Marketing_Support — CAC, onboarding, support, hardware replacement.</t>
        </is>
      </c>
    </row>
    <row r="25" ht="15" customHeight="1">
      <c r="B25" s="5" t="inlineStr">
        <is>
          <t>Summary — funding, ARR at each year end, break-even and ending cash.</t>
        </is>
      </c>
    </row>
    <row r="26" ht="15" customHeight="1">
      <c r="B26" s="5" t="inlineStr">
        <is>
          <t>Monthly_Forecast — 48-month P&amp;L, EBITDA, cash and runway with an explicit funding row.</t>
        </is>
      </c>
    </row>
    <row r="27" ht="15" customHeight="1">
      <c r="B27" s="5" t="inlineStr">
        <is>
          <t>Scenarios — annualised view at four orders of magnitude.</t>
        </is>
      </c>
    </row>
    <row r="28" ht="15" customHeight="1">
      <c r="B28" s="5" t="inlineStr">
        <is>
          <t>Actual_vs_Forecast — monthly tracking template.</t>
        </is>
      </c>
    </row>
    <row r="29" ht="15" customHeight="1">
      <c r="B29" s="5" t="inlineStr"/>
    </row>
    <row r="30" ht="15" customHeight="1">
      <c r="B30" s="6" t="inlineStr">
        <is>
          <t>What this model is NOT</t>
        </is>
      </c>
    </row>
    <row r="31" ht="15" customHeight="1">
      <c r="B31" s="5" t="inlineStr">
        <is>
          <t>It is a planning tool, not audited accounts, not a valuation and not tax advice.</t>
        </is>
      </c>
    </row>
    <row r="32" ht="15" customHeight="1">
      <c r="B32" s="5" t="inlineStr">
        <is>
          <t>Costs marked as estimates are ±40%. Salary figures are planning bands for Indian metros.</t>
        </is>
      </c>
    </row>
    <row r="33" ht="15" customHeight="1">
      <c r="B33" s="5" t="inlineStr">
        <is>
          <t>GST collected from customers is a pass-through liability and is excluded from revenue and cost totals.</t>
        </is>
      </c>
    </row>
    <row r="34" ht="15" customHeight="1">
      <c r="B34" s="5" t="inlineStr"/>
    </row>
    <row r="35" ht="15" customHeight="1">
      <c r="B35" s="6" t="inlineStr">
        <is>
          <t>Regenerating</t>
        </is>
      </c>
    </row>
    <row r="36" ht="15" customHeight="1">
      <c r="B36" s="5" t="inlineStr">
        <is>
          <t>python3 business/scripts/build_workbooks.py  (requires openpyxl)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52" customWidth="1" min="3" max="3"/>
  </cols>
  <sheetData>
    <row r="1">
      <c r="A1" s="1" t="inlineStr">
        <is>
          <t>Model Summary</t>
        </is>
      </c>
    </row>
    <row r="2">
      <c r="A2" s="2" t="inlineStr">
        <is>
          <t>Key outputs. All values are formulas over Monthly_Forecast.</t>
        </is>
      </c>
    </row>
    <row r="4" ht="30" customHeight="1">
      <c r="A4" s="7" t="inlineStr">
        <is>
          <t>Metric</t>
        </is>
      </c>
      <c r="B4" s="7" t="inlineStr">
        <is>
          <t>Value</t>
        </is>
      </c>
      <c r="C4" s="7" t="inlineStr">
        <is>
          <t>How to read it</t>
        </is>
      </c>
    </row>
    <row r="5">
      <c r="A5" s="8" t="inlineStr">
        <is>
          <t>Total funding raised</t>
        </is>
      </c>
      <c r="B5" s="9">
        <f>SUM(Monthly_Forecast!C22:AX22)</f>
        <v/>
      </c>
      <c r="C5" s="10" t="inlineStr">
        <is>
          <t>Founder capital + seed + bridge</t>
        </is>
      </c>
    </row>
    <row r="6">
      <c r="A6" s="8" t="inlineStr">
        <is>
          <t>ARR at month 12</t>
        </is>
      </c>
      <c r="B6" s="9">
        <f>Monthly_Forecast!N11*12</f>
        <v/>
      </c>
      <c r="C6" s="10" t="inlineStr">
        <is>
          <t>Annualised run-rate, year 1 exit</t>
        </is>
      </c>
    </row>
    <row r="7">
      <c r="A7" s="8" t="inlineStr">
        <is>
          <t>ARR at month 24</t>
        </is>
      </c>
      <c r="B7" s="9">
        <f>Monthly_Forecast!Z11*12</f>
        <v/>
      </c>
      <c r="C7" s="10" t="inlineStr">
        <is>
          <t>Annualised run-rate, year 2 exit</t>
        </is>
      </c>
    </row>
    <row r="8">
      <c r="A8" s="8" t="inlineStr">
        <is>
          <t>ARR at month 36</t>
        </is>
      </c>
      <c r="B8" s="9">
        <f>Monthly_Forecast!AL11*12</f>
        <v/>
      </c>
      <c r="C8" s="10" t="inlineStr">
        <is>
          <t>Annualised run-rate, year 3 exit</t>
        </is>
      </c>
    </row>
    <row r="9">
      <c r="A9" s="8" t="inlineStr">
        <is>
          <t>ARR at month 48</t>
        </is>
      </c>
      <c r="B9" s="9">
        <f>Monthly_Forecast!AX11*12</f>
        <v/>
      </c>
      <c r="C9" s="10" t="inlineStr">
        <is>
          <t>Annualised run-rate, year 4 exit</t>
        </is>
      </c>
    </row>
    <row r="10">
      <c r="A10" s="8" t="inlineStr">
        <is>
          <t>Paying organizations at month 48</t>
        </is>
      </c>
      <c r="B10" s="11">
        <f>Monthly_Forecast!AX7</f>
        <v/>
      </c>
      <c r="C10" s="10" t="inlineStr">
        <is>
          <t>≈ 2.2 registered users each</t>
        </is>
      </c>
    </row>
    <row r="11">
      <c r="A11" s="8" t="inlineStr">
        <is>
          <t>Monthly revenue at month 48</t>
        </is>
      </c>
      <c r="B11" s="9">
        <f>Monthly_Forecast!AX11</f>
        <v/>
      </c>
      <c r="C11" s="10" t="inlineStr">
        <is>
          <t>One month, not annualised</t>
        </is>
      </c>
    </row>
    <row r="12">
      <c r="A12" s="8" t="inlineStr">
        <is>
          <t>Monthly EBITDA at month 48</t>
        </is>
      </c>
      <c r="B12" s="9">
        <f>Monthly_Forecast!AX21</f>
        <v/>
      </c>
      <c r="C12" s="10" t="inlineStr">
        <is>
          <t>Positive = self-funding</t>
        </is>
      </c>
    </row>
    <row r="13">
      <c r="A13" s="8" t="inlineStr">
        <is>
          <t>Profitable months in 48</t>
        </is>
      </c>
      <c r="B13" s="11">
        <f>COUNTIF(Monthly_Forecast!C21:AX21,"&gt;0")</f>
        <v/>
      </c>
      <c r="C13" s="10" t="inlineStr">
        <is>
          <t>First positive month marks break-even</t>
        </is>
      </c>
    </row>
    <row r="14">
      <c r="A14" s="8" t="inlineStr">
        <is>
          <t>Cumulative EBITDA (48 months)</t>
        </is>
      </c>
      <c r="B14" s="9">
        <f>SUM(Monthly_Forecast!C21:AX21)</f>
        <v/>
      </c>
      <c r="C14" s="10" t="inlineStr">
        <is>
          <t>Total cash consumed by operations</t>
        </is>
      </c>
    </row>
    <row r="15">
      <c r="A15" s="8" t="inlineStr">
        <is>
          <t>Lowest cash balance</t>
        </is>
      </c>
      <c r="B15" s="9">
        <f>MIN(Monthly_Forecast!C23:AX23)</f>
        <v/>
      </c>
      <c r="C15" s="10" t="inlineStr">
        <is>
          <t>Must stay above zero</t>
        </is>
      </c>
    </row>
    <row r="16">
      <c r="A16" s="8" t="inlineStr">
        <is>
          <t>Cash at month 48</t>
        </is>
      </c>
      <c r="B16" s="9">
        <f>Monthly_Forecast!AX23</f>
        <v/>
      </c>
      <c r="C16" s="10" t="inlineStr">
        <is>
          <t>Ending liquidity</t>
        </is>
      </c>
    </row>
    <row r="17">
      <c r="A17" s="8" t="inlineStr">
        <is>
          <t>Peak monthly burn</t>
        </is>
      </c>
      <c r="B17" s="9">
        <f>MIN(Monthly_Forecast!C21:AX21)</f>
        <v/>
      </c>
      <c r="C17" s="10" t="inlineStr">
        <is>
          <t>Worst single month</t>
        </is>
      </c>
    </row>
    <row r="18">
      <c r="A18" s="8" t="inlineStr">
        <is>
          <t>Total invested to date + remaining to launch</t>
        </is>
      </c>
      <c r="B18" s="9">
        <f>Dev_Investment!D27+Dev_Investment!D44</f>
        <v/>
      </c>
      <c r="C18" s="10" t="inlineStr">
        <is>
          <t>From the Dev_Investment sheet</t>
        </is>
      </c>
    </row>
    <row r="20">
      <c r="A20" s="12" t="inlineStr">
        <is>
          <t>If any metric looks implausible, change the inputs on Monthly_Forecast (growth, churn, funding) or Assumptions (ARPU, costs) — never overwrite the calculated rows.</t>
        </is>
      </c>
    </row>
  </sheetData>
  <mergeCells count="1"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62" customWidth="1" min="4" max="4"/>
  </cols>
  <sheetData>
    <row r="1">
      <c r="A1" s="1" t="inlineStr">
        <is>
          <t>Assumptions</t>
        </is>
      </c>
    </row>
    <row r="2">
      <c r="A2" s="2" t="inlineStr">
        <is>
          <t>Every other sheet references these cells. Change them here, not in the model sheets.</t>
        </is>
      </c>
    </row>
    <row r="4" ht="30" customHeight="1">
      <c r="A4" s="7" t="inlineStr">
        <is>
          <t>Assumption</t>
        </is>
      </c>
      <c r="B4" s="7" t="inlineStr">
        <is>
          <t>Value</t>
        </is>
      </c>
      <c r="C4" s="7" t="inlineStr">
        <is>
          <t>Unit</t>
        </is>
      </c>
      <c r="D4" s="7" t="inlineStr">
        <is>
          <t>Source / rationale</t>
        </is>
      </c>
    </row>
    <row r="5">
      <c r="A5" s="8" t="inlineStr">
        <is>
          <t>FX rate</t>
        </is>
      </c>
      <c r="B5" s="13" t="n">
        <v>84</v>
      </c>
      <c r="C5" s="14" t="inlineStr">
        <is>
          <t>INR/USD</t>
        </is>
      </c>
      <c r="D5" s="10" t="inlineStr">
        <is>
          <t>2026 planning rate</t>
        </is>
      </c>
    </row>
    <row r="6">
      <c r="A6" s="8" t="inlineStr">
        <is>
          <t>Users per organization</t>
        </is>
      </c>
      <c r="B6" s="15" t="n">
        <v>2.2</v>
      </c>
      <c r="C6" s="14" t="inlineStr">
        <is>
          <t>seats</t>
        </is>
      </c>
      <c r="D6" s="10" t="inlineStr">
        <is>
          <t>Observed CRM seat average</t>
        </is>
      </c>
    </row>
    <row r="7">
      <c r="A7" s="8" t="inlineStr">
        <is>
          <t>Blended ARPU</t>
        </is>
      </c>
      <c r="B7" s="13" t="n">
        <v>1150</v>
      </c>
      <c r="C7" s="14" t="inlineStr">
        <is>
          <t>INR/org/mo</t>
        </is>
      </c>
      <c r="D7" s="10" t="inlineStr">
        <is>
          <t>Mix of Basic/Pro/Premium incl. annual discounts</t>
        </is>
      </c>
    </row>
    <row r="8">
      <c r="A8" s="8" t="inlineStr">
        <is>
          <t>Add-on attach rate</t>
        </is>
      </c>
      <c r="B8" s="15" t="n">
        <v>0.12</v>
      </c>
      <c r="C8" s="14" t="inlineStr">
        <is>
          <t>% of orgs</t>
        </is>
      </c>
      <c r="D8" s="10" t="inlineStr">
        <is>
          <t>₹249 add-ons</t>
        </is>
      </c>
    </row>
    <row r="9">
      <c r="A9" s="8" t="inlineStr">
        <is>
          <t>Add-on price</t>
        </is>
      </c>
      <c r="B9" s="13" t="n">
        <v>249</v>
      </c>
      <c r="C9" s="14" t="inlineStr">
        <is>
          <t>INR/mo</t>
        </is>
      </c>
      <c r="D9" s="10" t="inlineStr">
        <is>
          <t>Catalogue price</t>
        </is>
      </c>
    </row>
    <row r="10">
      <c r="A10" s="8" t="inlineStr">
        <is>
          <t>Monthly logo churn</t>
        </is>
      </c>
      <c r="B10" s="15" t="n">
        <v>0.03</v>
      </c>
      <c r="C10" s="14" t="inlineStr">
        <is>
          <t>% of orgs</t>
        </is>
      </c>
      <c r="D10" s="10" t="inlineStr">
        <is>
          <t>Early-stage SaaS; improves with age</t>
        </is>
      </c>
    </row>
    <row r="11">
      <c r="A11" s="8" t="inlineStr">
        <is>
          <t>Monthly expansion</t>
        </is>
      </c>
      <c r="B11" s="15" t="n">
        <v>0.008</v>
      </c>
      <c r="C11" s="14" t="inlineStr">
        <is>
          <t>% of orgs</t>
        </is>
      </c>
      <c r="D11" s="10" t="inlineStr">
        <is>
          <t>Upgrades and seat growth</t>
        </is>
      </c>
    </row>
    <row r="12">
      <c r="A12" s="8" t="inlineStr">
        <is>
          <t>Payment MDR — cards</t>
        </is>
      </c>
      <c r="B12" s="15" t="n">
        <v>0.02</v>
      </c>
      <c r="C12" s="14" t="inlineStr">
        <is>
          <t>% of value</t>
        </is>
      </c>
      <c r="D12" s="10" t="inlineStr">
        <is>
          <t>Razorpay standard</t>
        </is>
      </c>
    </row>
    <row r="13">
      <c r="A13" s="8" t="inlineStr">
        <is>
          <t>Payment MDR — UPI</t>
        </is>
      </c>
      <c r="B13" s="15" t="n">
        <v>0</v>
      </c>
      <c r="C13" s="14" t="inlineStr">
        <is>
          <t>% of value</t>
        </is>
      </c>
      <c r="D13" s="10" t="inlineStr">
        <is>
          <t>UPI is zero-MDR in India</t>
        </is>
      </c>
    </row>
    <row r="14">
      <c r="A14" s="8" t="inlineStr">
        <is>
          <t>Card share of payments</t>
        </is>
      </c>
      <c r="B14" s="15" t="n">
        <v>0.35</v>
      </c>
      <c r="C14" s="14" t="inlineStr">
        <is>
          <t>% of value</t>
        </is>
      </c>
      <c r="D14" s="10" t="inlineStr">
        <is>
          <t>Rest is UPI</t>
        </is>
      </c>
    </row>
    <row r="15">
      <c r="A15" s="8" t="inlineStr">
        <is>
          <t>GST on subscription</t>
        </is>
      </c>
      <c r="B15" s="16" t="n">
        <v>0.18</v>
      </c>
      <c r="C15" s="14" t="inlineStr">
        <is>
          <t>%</t>
        </is>
      </c>
      <c r="D15" s="10" t="inlineStr">
        <is>
          <t>India, 18%</t>
        </is>
      </c>
    </row>
    <row r="16">
      <c r="A16" s="8" t="inlineStr">
        <is>
          <t>Refund / dispute rate</t>
        </is>
      </c>
      <c r="B16" s="15" t="n">
        <v>0.015</v>
      </c>
      <c r="C16" s="14" t="inlineStr">
        <is>
          <t>% of revenue</t>
        </is>
      </c>
      <c r="D16" s="10" t="inlineStr">
        <is>
          <t>Chargebacks + goodwill</t>
        </is>
      </c>
    </row>
    <row r="17">
      <c r="A17" s="8" t="inlineStr">
        <is>
          <t>Chargeback fee</t>
        </is>
      </c>
      <c r="B17" s="13" t="n">
        <v>500</v>
      </c>
      <c r="C17" s="14" t="inlineStr">
        <is>
          <t>INR/event</t>
        </is>
      </c>
      <c r="D17" s="10" t="inlineStr">
        <is>
          <t>Provider fee</t>
        </is>
      </c>
    </row>
    <row r="18">
      <c r="A18" s="8" t="inlineStr">
        <is>
          <t>Support cost per org</t>
        </is>
      </c>
      <c r="B18" s="13" t="n">
        <v>55</v>
      </c>
      <c r="C18" s="14" t="inlineStr">
        <is>
          <t>INR/mo</t>
        </is>
      </c>
      <c r="D18" s="10" t="inlineStr">
        <is>
          <t>Tooling/telephony only — support salaries sit in Team_Costs</t>
        </is>
      </c>
    </row>
    <row r="19">
      <c r="A19" s="8" t="inlineStr">
        <is>
          <t>Trial conversion</t>
        </is>
      </c>
      <c r="B19" s="15" t="n">
        <v>0.22</v>
      </c>
      <c r="C19" s="14" t="inlineStr">
        <is>
          <t>% of trials</t>
        </is>
      </c>
      <c r="D19" s="10" t="inlineStr">
        <is>
          <t>Trial → paid</t>
        </is>
      </c>
    </row>
    <row r="20">
      <c r="A20" s="8" t="inlineStr">
        <is>
          <t>CAC (blended)</t>
        </is>
      </c>
      <c r="B20" s="13" t="n">
        <v>1800</v>
      </c>
      <c r="C20" s="14" t="inlineStr">
        <is>
          <t>INR/org</t>
        </is>
      </c>
      <c r="D20" s="10" t="inlineStr">
        <is>
          <t>Digital-led acquisition; heavy sales costs sit in Team_Costs</t>
        </is>
      </c>
    </row>
    <row r="21">
      <c r="A21" s="8" t="inlineStr">
        <is>
          <t>Infra per session</t>
        </is>
      </c>
      <c r="B21" s="15" t="n">
        <v>0.33</v>
      </c>
      <c r="C21" s="14" t="inlineStr">
        <is>
          <t>INR</t>
        </is>
      </c>
      <c r="D21" s="10" t="inlineStr">
        <is>
          <t>Stage-1 measured/planned</t>
        </is>
      </c>
    </row>
    <row r="22">
      <c r="A22" s="8" t="inlineStr">
        <is>
          <t>Sessions per org per month</t>
        </is>
      </c>
      <c r="B22" s="13" t="n">
        <v>108</v>
      </c>
      <c r="C22" s="14" t="inlineStr">
        <is>
          <t>sessions</t>
        </is>
      </c>
      <c r="D22" s="10" t="inlineStr">
        <is>
          <t>1.2 events × 90 sessions</t>
        </is>
      </c>
    </row>
    <row r="23">
      <c r="A23" s="8" t="inlineStr">
        <is>
          <t>Prints per session</t>
        </is>
      </c>
      <c r="B23" s="16" t="n">
        <v>0.85</v>
      </c>
      <c r="C23" s="14" t="inlineStr">
        <is>
          <t>%</t>
        </is>
      </c>
      <c r="D23" s="10" t="inlineStr">
        <is>
          <t>Share of sessions that print</t>
        </is>
      </c>
    </row>
    <row r="24">
      <c r="A24" s="8" t="inlineStr">
        <is>
          <t>Media cost per 4×6 sheet</t>
        </is>
      </c>
      <c r="B24" s="13" t="n">
        <v>26</v>
      </c>
      <c r="C24" s="14" t="inlineStr">
        <is>
          <t>INR</t>
        </is>
      </c>
      <c r="D24" s="10" t="inlineStr">
        <is>
          <t>DNP media, landed</t>
        </is>
      </c>
    </row>
    <row r="25">
      <c r="A25" s="8" t="inlineStr">
        <is>
          <t>Contingency on opex</t>
        </is>
      </c>
      <c r="B25" s="16" t="n">
        <v>0.08</v>
      </c>
      <c r="C25" s="14" t="inlineStr">
        <is>
          <t>%</t>
        </is>
      </c>
      <c r="D25" s="10" t="inlineStr">
        <is>
          <t>Buffer</t>
        </is>
      </c>
    </row>
    <row r="26">
      <c r="A26" s="8" t="inlineStr">
        <is>
          <t>Employer overhead on salary</t>
        </is>
      </c>
      <c r="B26" s="16" t="n">
        <v>0.15</v>
      </c>
      <c r="C26" s="14" t="inlineStr">
        <is>
          <t>%</t>
        </is>
      </c>
      <c r="D26" s="10" t="inlineStr">
        <is>
          <t>Benefits, equipment, software</t>
        </is>
      </c>
    </row>
    <row r="27">
      <c r="A27" s="8" t="inlineStr">
        <is>
          <t>Opening cash</t>
        </is>
      </c>
      <c r="B27" s="13" t="n">
        <v>10000000</v>
      </c>
      <c r="C27" s="14" t="inlineStr">
        <is>
          <t>INR</t>
        </is>
      </c>
      <c r="D27" s="10" t="inlineStr">
        <is>
          <t>Founder capital at month 1</t>
        </is>
      </c>
    </row>
    <row r="29">
      <c r="A29" s="12" t="inlineStr">
        <is>
          <t>Yellow cells are inputs. All model sheets read from this block.</t>
        </is>
      </c>
    </row>
  </sheetData>
  <mergeCells count="1">
    <mergeCell ref="A29:D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6" customWidth="1" min="4" max="4"/>
    <col width="58" customWidth="1" min="5" max="5"/>
  </cols>
  <sheetData>
    <row r="1">
      <c r="A1" s="1" t="inlineStr">
        <is>
          <t>Historical Development Investment &amp; Remaining Launch Costs</t>
        </is>
      </c>
    </row>
    <row r="2">
      <c r="A2" s="2" t="inlineStr">
        <is>
          <t>What has been spent to reach today, and what is still needed to launch commercially.</t>
        </is>
      </c>
    </row>
    <row r="4" ht="30" customHeight="1">
      <c r="A4" s="7" t="inlineStr">
        <is>
          <t>Workstream</t>
        </is>
      </c>
      <c r="B4" s="7" t="inlineStr">
        <is>
          <t>Hours</t>
        </is>
      </c>
      <c r="C4" s="7" t="inlineStr">
        <is>
          <t>Rate (INR/h)</t>
        </is>
      </c>
      <c r="D4" s="7" t="inlineStr">
        <is>
          <t>Cost (INR)</t>
        </is>
      </c>
      <c r="E4" s="7" t="inlineStr">
        <is>
          <t>Notes</t>
        </is>
      </c>
    </row>
    <row r="5">
      <c r="A5" s="8" t="inlineStr">
        <is>
          <t>Architecture &amp; technical leadership</t>
        </is>
      </c>
      <c r="B5" s="13" t="n">
        <v>2400</v>
      </c>
      <c r="C5" s="13" t="n">
        <v>1500</v>
      </c>
      <c r="D5" s="9">
        <f>B5*C5</f>
        <v/>
      </c>
      <c r="E5" s="10" t="inlineStr">
        <is>
          <t>Multi-tenant model, pricing engine, snapshots</t>
        </is>
      </c>
    </row>
    <row r="6">
      <c r="A6" s="8" t="inlineStr">
        <is>
          <t>Backend engineering</t>
        </is>
      </c>
      <c r="B6" s="13" t="n">
        <v>3200</v>
      </c>
      <c r="C6" s="13" t="n">
        <v>1200</v>
      </c>
      <c r="D6" s="9">
        <f>B6*C6</f>
        <v/>
      </c>
      <c r="E6" s="10" t="inlineStr">
        <is>
          <t>23 models, 100+ endpoints, payments, S3, AI pipeline</t>
        </is>
      </c>
    </row>
    <row r="7">
      <c r="A7" s="8" t="inlineStr">
        <is>
          <t>CRM frontend</t>
        </is>
      </c>
      <c r="B7" s="13" t="n">
        <v>1900</v>
      </c>
      <c r="C7" s="13" t="n">
        <v>1100</v>
      </c>
      <c r="D7" s="9">
        <f>B7*C7</f>
        <v/>
      </c>
      <c r="E7" s="10" t="inlineStr">
        <is>
          <t>21 screens, permission matrix, mock backend, designer</t>
        </is>
      </c>
    </row>
    <row r="8">
      <c r="A8" s="8" t="inlineStr">
        <is>
          <t>Android booth app</t>
        </is>
      </c>
      <c r="B8" s="13" t="n">
        <v>1500</v>
      </c>
      <c r="C8" s="13" t="n">
        <v>1200</v>
      </c>
      <c r="D8" s="9">
        <f>B8*C8</f>
        <v/>
      </c>
      <c r="E8" s="10" t="inlineStr">
        <is>
          <t>XState flow, Skia compositing, CCAPI, IPP</t>
        </is>
      </c>
    </row>
    <row r="9">
      <c r="A9" s="8" t="inlineStr">
        <is>
          <t>Electron booth app</t>
        </is>
      </c>
      <c r="B9" s="13" t="n">
        <v>1600</v>
      </c>
      <c r="C9" s="13" t="n">
        <v>1200</v>
      </c>
      <c r="D9" s="9">
        <f>B9*C9</f>
        <v/>
      </c>
      <c r="E9" s="10" t="inlineStr">
        <is>
          <t>Hardware layer, spooler/CUPS, telemetry, IPC</t>
        </is>
      </c>
    </row>
    <row r="10">
      <c r="A10" s="8" t="inlineStr">
        <is>
          <t>Public website &amp; downloads</t>
        </is>
      </c>
      <c r="B10" s="13" t="n">
        <v>700</v>
      </c>
      <c r="C10" s="13" t="n">
        <v>1000</v>
      </c>
      <c r="D10" s="9">
        <f>B10*C10</f>
        <v/>
      </c>
      <c r="E10" s="10" t="inlineStr">
        <is>
          <t>Marketing, pricing, checkout, guest portal</t>
        </is>
      </c>
    </row>
    <row r="11">
      <c r="A11" s="8" t="inlineStr">
        <is>
          <t>Design &amp; branding</t>
        </is>
      </c>
      <c r="B11" s="13" t="n">
        <v>700</v>
      </c>
      <c r="C11" s="13" t="n">
        <v>1000</v>
      </c>
      <c r="D11" s="9">
        <f>B11*C11</f>
        <v/>
      </c>
      <c r="E11" s="10" t="inlineStr">
        <is>
          <t>Templates, UI system, brand assets</t>
        </is>
      </c>
    </row>
    <row r="12">
      <c r="A12" s="8" t="inlineStr">
        <is>
          <t>QA &amp; release engineering</t>
        </is>
      </c>
      <c r="B12" s="13" t="n">
        <v>900</v>
      </c>
      <c r="C12" s="13" t="n">
        <v>800</v>
      </c>
      <c r="D12" s="9">
        <f>B12*C12</f>
        <v/>
      </c>
      <c r="E12" s="10" t="inlineStr">
        <is>
          <t>Test suites, hardware verification, releases</t>
        </is>
      </c>
    </row>
    <row r="13">
      <c r="A13" s="8" t="inlineStr">
        <is>
          <t>DevOps &amp; infrastructure</t>
        </is>
      </c>
      <c r="B13" s="13" t="n">
        <v>500</v>
      </c>
      <c r="C13" s="13" t="n">
        <v>1400</v>
      </c>
      <c r="D13" s="9">
        <f>B13*C13</f>
        <v/>
      </c>
      <c r="E13" s="10" t="inlineStr">
        <is>
          <t>Vercel, Atlas, S3, monitoring, CI</t>
        </is>
      </c>
    </row>
    <row r="14">
      <c r="A14" s="8" t="inlineStr">
        <is>
          <t>AI integration</t>
        </is>
      </c>
      <c r="B14" s="13" t="n">
        <v>400</v>
      </c>
      <c r="C14" s="13" t="n">
        <v>1600</v>
      </c>
      <c r="D14" s="9">
        <f>B14*C14</f>
        <v/>
      </c>
      <c r="E14" s="10" t="inlineStr">
        <is>
          <t>Groq classification, FLUX generation, IP sanitisation</t>
        </is>
      </c>
    </row>
    <row r="15">
      <c r="A15" s="8" t="inlineStr">
        <is>
          <t>Project &amp; product management</t>
        </is>
      </c>
      <c r="B15" s="13" t="n">
        <v>600</v>
      </c>
      <c r="C15" s="13" t="n">
        <v>900</v>
      </c>
      <c r="D15" s="9">
        <f>B15*C15</f>
        <v/>
      </c>
      <c r="E15" s="10" t="inlineStr">
        <is>
          <t>Specs, prioritisation, client feedback</t>
        </is>
      </c>
    </row>
    <row r="16">
      <c r="A16" s="17" t="inlineStr">
        <is>
          <t>Total development labour</t>
        </is>
      </c>
      <c r="B16" s="18">
        <f>SUM(B5:B15)</f>
        <v/>
      </c>
      <c r="C16" s="19" t="inlineStr"/>
      <c r="D16" s="20">
        <f>SUM(D5:D15)</f>
        <v/>
      </c>
      <c r="E16" s="21" t="inlineStr">
        <is>
          <t>Sunk cost to date (opportunity cost basis)</t>
        </is>
      </c>
    </row>
    <row r="18">
      <c r="A18" s="22" t="inlineStr">
        <is>
          <t>Direct cash spend to date</t>
        </is>
      </c>
      <c r="B18" s="23" t="n"/>
      <c r="C18" s="23" t="n"/>
      <c r="D18" s="23" t="n"/>
      <c r="E18" s="23" t="n"/>
    </row>
    <row r="19" ht="30" customHeight="1">
      <c r="A19" s="7" t="inlineStr">
        <is>
          <t>Item</t>
        </is>
      </c>
      <c r="B19" s="7" t="inlineStr">
        <is>
          <t>Months</t>
        </is>
      </c>
      <c r="C19" s="7" t="inlineStr">
        <is>
          <t>Monthly (INR)</t>
        </is>
      </c>
      <c r="D19" s="7" t="inlineStr">
        <is>
          <t>Total (INR)</t>
        </is>
      </c>
      <c r="E19" s="7" t="inlineStr">
        <is>
          <t>Notes</t>
        </is>
      </c>
    </row>
    <row r="20">
      <c r="A20" s="8" t="inlineStr">
        <is>
          <t>Cloud &amp; infrastructure</t>
        </is>
      </c>
      <c r="B20" s="13" t="n">
        <v>18</v>
      </c>
      <c r="C20" s="24" t="n">
        <v>18000</v>
      </c>
      <c r="D20" s="9">
        <f>B20*C20</f>
        <v/>
      </c>
      <c r="E20" s="10" t="inlineStr">
        <is>
          <t>Atlas, Vercel, S3, email/SMS</t>
        </is>
      </c>
    </row>
    <row r="21">
      <c r="A21" s="8" t="inlineStr">
        <is>
          <t>AI API usage</t>
        </is>
      </c>
      <c r="B21" s="13" t="n">
        <v>18</v>
      </c>
      <c r="C21" s="24" t="n">
        <v>6000</v>
      </c>
      <c r="D21" s="9">
        <f>B21*C21</f>
        <v/>
      </c>
      <c r="E21" s="10" t="inlineStr">
        <is>
          <t>Groq + Together during development</t>
        </is>
      </c>
    </row>
    <row r="22">
      <c r="A22" s="8" t="inlineStr">
        <is>
          <t>Domains, SSL, tooling</t>
        </is>
      </c>
      <c r="B22" s="13" t="n">
        <v>18</v>
      </c>
      <c r="C22" s="24" t="n">
        <v>3500</v>
      </c>
      <c r="D22" s="9">
        <f>B22*C22</f>
        <v/>
      </c>
      <c r="E22" s="10" t="inlineStr">
        <is>
          <t>Domains, GitHub, design tools</t>
        </is>
      </c>
    </row>
    <row r="23">
      <c r="A23" s="8" t="inlineStr">
        <is>
          <t>Hardware prototypes</t>
        </is>
      </c>
      <c r="B23" s="13" t="n">
        <v>1</v>
      </c>
      <c r="C23" s="24" t="n">
        <v>385000</v>
      </c>
      <c r="D23" s="9">
        <f>B23*C23</f>
        <v/>
      </c>
      <c r="E23" s="10" t="inlineStr">
        <is>
          <t>Printers, cameras, tablets, PC builds</t>
        </is>
      </c>
    </row>
    <row r="24">
      <c r="A24" s="8" t="inlineStr">
        <is>
          <t>Payment gateway setup</t>
        </is>
      </c>
      <c r="B24" s="13" t="n">
        <v>1</v>
      </c>
      <c r="C24" s="24" t="n">
        <v>12000</v>
      </c>
      <c r="D24" s="9">
        <f>B24*C24</f>
        <v/>
      </c>
      <c r="E24" s="10" t="inlineStr">
        <is>
          <t>KYC, integration testing</t>
        </is>
      </c>
    </row>
    <row r="25">
      <c r="A25" s="17" t="inlineStr">
        <is>
          <t>Total direct spend</t>
        </is>
      </c>
      <c r="B25" s="19" t="inlineStr"/>
      <c r="C25" s="19" t="inlineStr"/>
      <c r="D25" s="20">
        <f>SUM(D20:D24)</f>
        <v/>
      </c>
      <c r="E25" s="19" t="inlineStr"/>
    </row>
    <row r="27">
      <c r="A27" s="17" t="inlineStr">
        <is>
          <t>TOTAL INVESTED TO DATE</t>
        </is>
      </c>
      <c r="D27" s="20">
        <f>D16+D25</f>
        <v/>
      </c>
    </row>
    <row r="30">
      <c r="A30" s="22" t="inlineStr">
        <is>
          <t>Remaining spend to reach commercial launch</t>
        </is>
      </c>
      <c r="B30" s="23" t="n"/>
      <c r="C30" s="23" t="n"/>
      <c r="D30" s="23" t="n"/>
      <c r="E30" s="23" t="n"/>
    </row>
    <row r="31" ht="30" customHeight="1">
      <c r="A31" s="7" t="inlineStr">
        <is>
          <t>Item</t>
        </is>
      </c>
      <c r="B31" s="7" t="inlineStr">
        <is>
          <t>Qty</t>
        </is>
      </c>
      <c r="C31" s="7" t="inlineStr">
        <is>
          <t>Unit cost (INR)</t>
        </is>
      </c>
      <c r="D31" s="7" t="inlineStr">
        <is>
          <t>Total (INR)</t>
        </is>
      </c>
      <c r="E31" s="7" t="inlineStr">
        <is>
          <t>Notes</t>
        </is>
      </c>
    </row>
    <row r="32">
      <c r="A32" s="8" t="inlineStr">
        <is>
          <t>Code-signing certificate (Windows OV)</t>
        </is>
      </c>
      <c r="B32" s="13" t="n">
        <v>1</v>
      </c>
      <c r="C32" s="24" t="n">
        <v>42000</v>
      </c>
      <c r="D32" s="9">
        <f>B32*C32</f>
        <v/>
      </c>
      <c r="E32" s="10" t="inlineStr">
        <is>
          <t>Annual; required for clean installs</t>
        </is>
      </c>
    </row>
    <row r="33">
      <c r="A33" s="8" t="inlineStr">
        <is>
          <t>Apple Developer Program</t>
        </is>
      </c>
      <c r="B33" s="13" t="n">
        <v>1</v>
      </c>
      <c r="C33" s="24" t="n">
        <v>8500</v>
      </c>
      <c r="D33" s="9">
        <f>B33*C33</f>
        <v/>
      </c>
      <c r="E33" s="10" t="inlineStr">
        <is>
          <t>Annual</t>
        </is>
      </c>
    </row>
    <row r="34">
      <c r="A34" s="8" t="inlineStr">
        <is>
          <t>Notarisation tooling / certificates</t>
        </is>
      </c>
      <c r="B34" s="13" t="n">
        <v>1</v>
      </c>
      <c r="C34" s="24" t="n">
        <v>12000</v>
      </c>
      <c r="D34" s="9">
        <f>B34*C34</f>
        <v/>
      </c>
      <c r="E34" s="10" t="inlineStr">
        <is>
          <t>Apple Developer ID</t>
        </is>
      </c>
    </row>
    <row r="35">
      <c r="A35" s="8" t="inlineStr">
        <is>
          <t>Google Play developer account</t>
        </is>
      </c>
      <c r="B35" s="13" t="n">
        <v>1</v>
      </c>
      <c r="C35" s="24" t="n">
        <v>2200</v>
      </c>
      <c r="D35" s="9">
        <f>B35*C35</f>
        <v/>
      </c>
      <c r="E35" s="10" t="inlineStr">
        <is>
          <t>One-time</t>
        </is>
      </c>
    </row>
    <row r="36">
      <c r="A36" s="8" t="inlineStr">
        <is>
          <t>Privacy policy &amp; terms drafting</t>
        </is>
      </c>
      <c r="B36" s="13" t="n">
        <v>1</v>
      </c>
      <c r="C36" s="24" t="n">
        <v>85000</v>
      </c>
      <c r="D36" s="9">
        <f>B36*C36</f>
        <v/>
      </c>
      <c r="E36" s="10" t="inlineStr">
        <is>
          <t>Counsel-reviewed for DPDP + GDPR</t>
        </is>
      </c>
    </row>
    <row r="37">
      <c r="A37" s="8" t="inlineStr">
        <is>
          <t>Security review / light pen test</t>
        </is>
      </c>
      <c r="B37" s="13" t="n">
        <v>1</v>
      </c>
      <c r="C37" s="24" t="n">
        <v>180000</v>
      </c>
      <c r="D37" s="9">
        <f>B37*C37</f>
        <v/>
      </c>
      <c r="E37" s="10" t="inlineStr">
        <is>
          <t>Before enterprise sales</t>
        </is>
      </c>
    </row>
    <row r="38">
      <c r="A38" s="8" t="inlineStr">
        <is>
          <t>Trademark filing (India, 2 classes)</t>
        </is>
      </c>
      <c r="B38" s="13" t="n">
        <v>1</v>
      </c>
      <c r="C38" s="24" t="n">
        <v>45000</v>
      </c>
      <c r="D38" s="9">
        <f>B38*C38</f>
        <v/>
      </c>
      <c r="E38" s="10" t="inlineStr">
        <is>
          <t>Name + logo</t>
        </is>
      </c>
    </row>
    <row r="39">
      <c r="A39" s="8" t="inlineStr">
        <is>
          <t>Accounting &amp; company compliance</t>
        </is>
      </c>
      <c r="B39" s="13" t="n">
        <v>12</v>
      </c>
      <c r="C39" s="24" t="n">
        <v>12000</v>
      </c>
      <c r="D39" s="9">
        <f>B39*C39</f>
        <v/>
      </c>
      <c r="E39" s="10" t="inlineStr">
        <is>
          <t>Monthly retainer, first year</t>
        </is>
      </c>
    </row>
    <row r="40">
      <c r="A40" s="8" t="inlineStr">
        <is>
          <t>Launch marketing budget</t>
        </is>
      </c>
      <c r="B40" s="13" t="n">
        <v>1</v>
      </c>
      <c r="C40" s="24" t="n">
        <v>400000</v>
      </c>
      <c r="D40" s="9">
        <f>B40*C40</f>
        <v/>
      </c>
      <c r="E40" s="10" t="inlineStr">
        <is>
          <t>Content, ads, event presence</t>
        </is>
      </c>
    </row>
    <row r="41">
      <c r="A41" s="8" t="inlineStr">
        <is>
          <t>Pilot hardware fleet (3 rigs)</t>
        </is>
      </c>
      <c r="B41" s="13" t="n">
        <v>3</v>
      </c>
      <c r="C41" s="24" t="n">
        <v>235000</v>
      </c>
      <c r="D41" s="9">
        <f>B41*C41</f>
        <v/>
      </c>
      <c r="E41" s="10" t="inlineStr">
        <is>
          <t>Printer + camera + PC per rig</t>
        </is>
      </c>
    </row>
    <row r="42">
      <c r="A42" s="8" t="inlineStr">
        <is>
          <t>Spare media (initial stock)</t>
        </is>
      </c>
      <c r="B42" s="13" t="n">
        <v>1</v>
      </c>
      <c r="C42" s="24" t="n">
        <v>140000</v>
      </c>
      <c r="D42" s="9">
        <f>B42*C42</f>
        <v/>
      </c>
      <c r="E42" s="10" t="inlineStr">
        <is>
          <t>Rolls for pilots and demos</t>
        </is>
      </c>
    </row>
    <row r="43">
      <c r="A43" s="8" t="inlineStr">
        <is>
          <t>Contingency (10%)</t>
        </is>
      </c>
      <c r="B43" s="13" t="n">
        <v>1</v>
      </c>
      <c r="C43" s="24" t="n">
        <v>0</v>
      </c>
      <c r="D43" s="9">
        <f>ROUND(SUM(D32:D42)*0.1,0)</f>
        <v/>
      </c>
      <c r="E43" s="10" t="inlineStr">
        <is>
          <t>Calculated below</t>
        </is>
      </c>
    </row>
    <row r="44">
      <c r="A44" s="17" t="inlineStr">
        <is>
          <t>Total remaining to launch</t>
        </is>
      </c>
      <c r="D44" s="20">
        <f>SUM(D32:D43)</f>
        <v/>
      </c>
    </row>
    <row r="46">
      <c r="A46" s="17" t="inlineStr">
        <is>
          <t>TOTAL CAPITAL REQUIRED (invested + remaining)</t>
        </is>
      </c>
      <c r="D46" s="20">
        <f>D27+D44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58" customWidth="1" min="10" max="10"/>
  </cols>
  <sheetData>
    <row r="1">
      <c r="A1" s="1" t="inlineStr">
        <is>
          <t>Team &amp; Personnel Costs</t>
        </is>
      </c>
    </row>
    <row r="2">
      <c r="A2" s="2" t="inlineStr">
        <is>
          <t>Headcount by phase. Monthly cost per role × headcount, plus employer overhead.</t>
        </is>
      </c>
    </row>
    <row r="4" ht="30" customHeight="1">
      <c r="A4" s="7" t="inlineStr">
        <is>
          <t>Role</t>
        </is>
      </c>
      <c r="B4" s="7" t="inlineStr">
        <is>
          <t>Monthly (INR)</t>
        </is>
      </c>
      <c r="C4" s="7" t="inlineStr">
        <is>
          <t>Phase A
M1–6</t>
        </is>
      </c>
      <c r="D4" s="7" t="inlineStr">
        <is>
          <t>Phase B
M7–12</t>
        </is>
      </c>
      <c r="E4" s="7" t="inlineStr">
        <is>
          <t>Phase C
M13–24</t>
        </is>
      </c>
      <c r="F4" s="7" t="inlineStr">
        <is>
          <t>Phase D
M25–36</t>
        </is>
      </c>
      <c r="G4" s="7" t="inlineStr">
        <is>
          <t>Phase A cost</t>
        </is>
      </c>
      <c r="H4" s="7" t="inlineStr">
        <is>
          <t>Phase B cost</t>
        </is>
      </c>
      <c r="I4" s="7" t="inlineStr">
        <is>
          <t>Phase C cost</t>
        </is>
      </c>
      <c r="J4" s="7" t="inlineStr">
        <is>
          <t>Phase D cost / notes</t>
        </is>
      </c>
    </row>
    <row r="5">
      <c r="A5" s="8" t="inlineStr">
        <is>
          <t>Founder / CEO</t>
        </is>
      </c>
      <c r="B5" s="24" t="n">
        <v>200000</v>
      </c>
      <c r="C5" s="13" t="n">
        <v>1</v>
      </c>
      <c r="D5" s="13" t="n">
        <v>1</v>
      </c>
      <c r="E5" s="13" t="n">
        <v>1</v>
      </c>
      <c r="F5" s="13" t="n">
        <v>1</v>
      </c>
      <c r="G5" s="9">
        <f>$B5*C5</f>
        <v/>
      </c>
      <c r="H5" s="9">
        <f>$B5*D5</f>
        <v/>
      </c>
      <c r="I5" s="9">
        <f>$B5*E5</f>
        <v/>
      </c>
      <c r="J5" s="10" t="inlineStr">
        <is>
          <t>Fundraising, sales, product direction</t>
        </is>
      </c>
    </row>
    <row r="6">
      <c r="A6" s="8" t="inlineStr">
        <is>
          <t>Engineering Lead</t>
        </is>
      </c>
      <c r="B6" s="24" t="n">
        <v>260000</v>
      </c>
      <c r="C6" s="13" t="n">
        <v>1</v>
      </c>
      <c r="D6" s="13" t="n">
        <v>1</v>
      </c>
      <c r="E6" s="13" t="n">
        <v>1</v>
      </c>
      <c r="F6" s="13" t="n">
        <v>1</v>
      </c>
      <c r="G6" s="9">
        <f>$B6*C6</f>
        <v/>
      </c>
      <c r="H6" s="9">
        <f>$B6*D6</f>
        <v/>
      </c>
      <c r="I6" s="9">
        <f>$B6*E6</f>
        <v/>
      </c>
      <c r="J6" s="10" t="inlineStr">
        <is>
          <t>Architecture, reviews, releases</t>
        </is>
      </c>
    </row>
    <row r="7">
      <c r="A7" s="8" t="inlineStr">
        <is>
          <t>Backend Engineer</t>
        </is>
      </c>
      <c r="B7" s="24" t="n">
        <v>160000</v>
      </c>
      <c r="C7" s="13" t="n">
        <v>2</v>
      </c>
      <c r="D7" s="13" t="n">
        <v>2</v>
      </c>
      <c r="E7" s="13" t="n">
        <v>3</v>
      </c>
      <c r="F7" s="13" t="n">
        <v>4</v>
      </c>
      <c r="G7" s="9">
        <f>$B7*C7</f>
        <v/>
      </c>
      <c r="H7" s="9">
        <f>$B7*D7</f>
        <v/>
      </c>
      <c r="I7" s="9">
        <f>$B7*E7</f>
        <v/>
      </c>
      <c r="J7" s="10" t="inlineStr">
        <is>
          <t>API, payments, storage, integrations</t>
        </is>
      </c>
    </row>
    <row r="8">
      <c r="A8" s="8" t="inlineStr">
        <is>
          <t>Frontend Engineer</t>
        </is>
      </c>
      <c r="B8" s="24" t="n">
        <v>140000</v>
      </c>
      <c r="C8" s="13" t="n">
        <v>1</v>
      </c>
      <c r="D8" s="13" t="n">
        <v>1</v>
      </c>
      <c r="E8" s="13" t="n">
        <v>1</v>
      </c>
      <c r="F8" s="13" t="n">
        <v>2</v>
      </c>
      <c r="G8" s="9">
        <f>$B8*C8</f>
        <v/>
      </c>
      <c r="H8" s="9">
        <f>$B8*D8</f>
        <v/>
      </c>
      <c r="I8" s="9">
        <f>$B8*E8</f>
        <v/>
      </c>
      <c r="J8" s="10" t="inlineStr">
        <is>
          <t>CRM + website</t>
        </is>
      </c>
    </row>
    <row r="9">
      <c r="A9" s="8" t="inlineStr">
        <is>
          <t>Mobile Engineer (Android)</t>
        </is>
      </c>
      <c r="B9" s="24" t="n">
        <v>170000</v>
      </c>
      <c r="C9" s="13" t="n">
        <v>0</v>
      </c>
      <c r="D9" s="13" t="n">
        <v>1</v>
      </c>
      <c r="E9" s="13" t="n">
        <v>1</v>
      </c>
      <c r="F9" s="13" t="n">
        <v>1</v>
      </c>
      <c r="G9" s="9">
        <f>$B9*C9</f>
        <v/>
      </c>
      <c r="H9" s="9">
        <f>$B9*D9</f>
        <v/>
      </c>
      <c r="I9" s="9">
        <f>$B9*E9</f>
        <v/>
      </c>
      <c r="J9" s="10" t="inlineStr">
        <is>
          <t>RN booth app, native modules</t>
        </is>
      </c>
    </row>
    <row r="10">
      <c r="A10" s="8" t="inlineStr">
        <is>
          <t>Desktop Engineer (Electron)</t>
        </is>
      </c>
      <c r="B10" s="24" t="n">
        <v>170000</v>
      </c>
      <c r="C10" s="13" t="n">
        <v>1</v>
      </c>
      <c r="D10" s="13" t="n">
        <v>1</v>
      </c>
      <c r="E10" s="13" t="n">
        <v>1</v>
      </c>
      <c r="F10" s="13" t="n">
        <v>1</v>
      </c>
      <c r="G10" s="9">
        <f>$B10*C10</f>
        <v/>
      </c>
      <c r="H10" s="9">
        <f>$B10*D10</f>
        <v/>
      </c>
      <c r="I10" s="9">
        <f>$B10*E10</f>
        <v/>
      </c>
      <c r="J10" s="10" t="inlineStr">
        <is>
          <t>Windows/macOS kiosk, printer stack</t>
        </is>
      </c>
    </row>
    <row r="11">
      <c r="A11" s="8" t="inlineStr">
        <is>
          <t>QA Engineer</t>
        </is>
      </c>
      <c r="B11" s="24" t="n">
        <v>100000</v>
      </c>
      <c r="C11" s="13" t="n">
        <v>1</v>
      </c>
      <c r="D11" s="13" t="n">
        <v>1</v>
      </c>
      <c r="E11" s="13" t="n">
        <v>1</v>
      </c>
      <c r="F11" s="13" t="n">
        <v>2</v>
      </c>
      <c r="G11" s="9">
        <f>$B11*C11</f>
        <v/>
      </c>
      <c r="H11" s="9">
        <f>$B11*D11</f>
        <v/>
      </c>
      <c r="I11" s="9">
        <f>$B11*E11</f>
        <v/>
      </c>
      <c r="J11" s="10" t="inlineStr">
        <is>
          <t>Manual + automated, hardware verification</t>
        </is>
      </c>
    </row>
    <row r="12">
      <c r="A12" s="8" t="inlineStr">
        <is>
          <t>Designer</t>
        </is>
      </c>
      <c r="B12" s="24" t="n">
        <v>130000</v>
      </c>
      <c r="C12" s="13" t="n">
        <v>0</v>
      </c>
      <c r="D12" s="13" t="n">
        <v>1</v>
      </c>
      <c r="E12" s="13" t="n">
        <v>1</v>
      </c>
      <c r="F12" s="13" t="n">
        <v>1</v>
      </c>
      <c r="G12" s="9">
        <f>$B12*C12</f>
        <v/>
      </c>
      <c r="H12" s="9">
        <f>$B12*D12</f>
        <v/>
      </c>
      <c r="I12" s="9">
        <f>$B12*E12</f>
        <v/>
      </c>
      <c r="J12" s="10" t="inlineStr">
        <is>
          <t>Templates, UI, brand</t>
        </is>
      </c>
    </row>
    <row r="13">
      <c r="A13" s="8" t="inlineStr">
        <is>
          <t>Product Manager</t>
        </is>
      </c>
      <c r="B13" s="24" t="n">
        <v>200000</v>
      </c>
      <c r="C13" s="13" t="n">
        <v>0</v>
      </c>
      <c r="D13" s="13" t="n">
        <v>0</v>
      </c>
      <c r="E13" s="13" t="n">
        <v>0</v>
      </c>
      <c r="F13" s="13" t="n">
        <v>1</v>
      </c>
      <c r="G13" s="9">
        <f>$B13*C13</f>
        <v/>
      </c>
      <c r="H13" s="9">
        <f>$B13*D13</f>
        <v/>
      </c>
      <c r="I13" s="9">
        <f>$B13*E13</f>
        <v/>
      </c>
      <c r="J13" s="10" t="inlineStr">
        <is>
          <t>Roadmap, specs, prioritisation</t>
        </is>
      </c>
    </row>
    <row r="14">
      <c r="A14" s="8" t="inlineStr">
        <is>
          <t>DevOps / SRE</t>
        </is>
      </c>
      <c r="B14" s="24" t="n">
        <v>210000</v>
      </c>
      <c r="C14" s="13" t="n">
        <v>0</v>
      </c>
      <c r="D14" s="13" t="n">
        <v>0</v>
      </c>
      <c r="E14" s="13" t="n">
        <v>1</v>
      </c>
      <c r="F14" s="13" t="n">
        <v>1</v>
      </c>
      <c r="G14" s="9">
        <f>$B14*C14</f>
        <v/>
      </c>
      <c r="H14" s="9">
        <f>$B14*D14</f>
        <v/>
      </c>
      <c r="I14" s="9">
        <f>$B14*E14</f>
        <v/>
      </c>
      <c r="J14" s="10" t="inlineStr">
        <is>
          <t>Infra, monitoring, DR</t>
        </is>
      </c>
    </row>
    <row r="15">
      <c r="A15" s="8" t="inlineStr">
        <is>
          <t>Sales / Partnerships</t>
        </is>
      </c>
      <c r="B15" s="24" t="n">
        <v>110000</v>
      </c>
      <c r="C15" s="13" t="n">
        <v>0</v>
      </c>
      <c r="D15" s="13" t="n">
        <v>1</v>
      </c>
      <c r="E15" s="13" t="n">
        <v>2</v>
      </c>
      <c r="F15" s="13" t="n">
        <v>3</v>
      </c>
      <c r="G15" s="9">
        <f>$B15*C15</f>
        <v/>
      </c>
      <c r="H15" s="9">
        <f>$B15*D15</f>
        <v/>
      </c>
      <c r="I15" s="9">
        <f>$B15*E15</f>
        <v/>
      </c>
      <c r="J15" s="10" t="inlineStr">
        <is>
          <t>Base only; commission in Marketing_Support</t>
        </is>
      </c>
    </row>
    <row r="16">
      <c r="A16" s="8" t="inlineStr">
        <is>
          <t>Support Associate</t>
        </is>
      </c>
      <c r="B16" s="24" t="n">
        <v>42000</v>
      </c>
      <c r="C16" s="13" t="n">
        <v>2</v>
      </c>
      <c r="D16" s="13" t="n">
        <v>3</v>
      </c>
      <c r="E16" s="13" t="n">
        <v>4</v>
      </c>
      <c r="F16" s="13" t="n">
        <v>5</v>
      </c>
      <c r="G16" s="9">
        <f>$B16*C16</f>
        <v/>
      </c>
      <c r="H16" s="9">
        <f>$B16*D16</f>
        <v/>
      </c>
      <c r="I16" s="9">
        <f>$B16*E16</f>
        <v/>
      </c>
      <c r="J16" s="10" t="inlineStr">
        <is>
          <t>Ticket handling, onboarding</t>
        </is>
      </c>
    </row>
    <row r="17">
      <c r="A17" s="8" t="inlineStr">
        <is>
          <t>Operations / Field</t>
        </is>
      </c>
      <c r="B17" s="24" t="n">
        <v>50000</v>
      </c>
      <c r="C17" s="13" t="n">
        <v>1</v>
      </c>
      <c r="D17" s="13" t="n">
        <v>1</v>
      </c>
      <c r="E17" s="13" t="n">
        <v>1</v>
      </c>
      <c r="F17" s="13" t="n">
        <v>2</v>
      </c>
      <c r="G17" s="9">
        <f>$B17*C17</f>
        <v/>
      </c>
      <c r="H17" s="9">
        <f>$B17*D17</f>
        <v/>
      </c>
      <c r="I17" s="9">
        <f>$B17*E17</f>
        <v/>
      </c>
      <c r="J17" s="10" t="inlineStr">
        <is>
          <t>Hardware fleet, event support</t>
        </is>
      </c>
    </row>
    <row r="18">
      <c r="A18" s="8" t="inlineStr">
        <is>
          <t>Finance / Accounts</t>
        </is>
      </c>
      <c r="B18" s="24" t="n">
        <v>70000</v>
      </c>
      <c r="C18" s="13" t="n">
        <v>1</v>
      </c>
      <c r="D18" s="13" t="n">
        <v>1</v>
      </c>
      <c r="E18" s="13" t="n">
        <v>1</v>
      </c>
      <c r="F18" s="13" t="n">
        <v>1</v>
      </c>
      <c r="G18" s="9">
        <f>$B18*C18</f>
        <v/>
      </c>
      <c r="H18" s="9">
        <f>$B18*D18</f>
        <v/>
      </c>
      <c r="I18" s="9">
        <f>$B18*E18</f>
        <v/>
      </c>
      <c r="J18" s="10" t="inlineStr">
        <is>
          <t>Reconciliation, GST, payroll</t>
        </is>
      </c>
    </row>
    <row r="19">
      <c r="A19" s="17" t="inlineStr">
        <is>
          <t>Headcount</t>
        </is>
      </c>
      <c r="B19" s="19" t="inlineStr"/>
      <c r="C19" s="18">
        <f>SUM(C5:C18)</f>
        <v/>
      </c>
      <c r="D19" s="18">
        <f>SUM(D5:D18)</f>
        <v/>
      </c>
      <c r="E19" s="18">
        <f>SUM(E5:E18)</f>
        <v/>
      </c>
      <c r="F19" s="18">
        <f>SUM(F5:F18)</f>
        <v/>
      </c>
      <c r="G19" s="19" t="inlineStr"/>
      <c r="H19" s="19" t="inlineStr"/>
      <c r="I19" s="19" t="inlineStr"/>
      <c r="J19" s="19" t="inlineStr">
        <is>
          <t>Total people per phase</t>
        </is>
      </c>
    </row>
    <row r="20">
      <c r="A20" s="17" t="inlineStr">
        <is>
          <t>Base salary cost / month</t>
        </is>
      </c>
      <c r="B20" s="19" t="inlineStr"/>
      <c r="C20" s="19" t="inlineStr"/>
      <c r="D20" s="19" t="inlineStr"/>
      <c r="E20" s="19" t="inlineStr"/>
      <c r="F20" s="19" t="inlineStr"/>
      <c r="G20" s="20">
        <f>SUM(G5:G18)</f>
        <v/>
      </c>
      <c r="H20" s="20">
        <f>SUM(H5:H18)</f>
        <v/>
      </c>
      <c r="I20" s="20">
        <f>SUM(I5:I18)</f>
        <v/>
      </c>
      <c r="J20" s="21" t="inlineStr">
        <is>
          <t>Add the Phase D total in column J below</t>
        </is>
      </c>
    </row>
    <row r="21">
      <c r="A21" s="8" t="inlineStr">
        <is>
          <t>Employer overhead (15%)</t>
        </is>
      </c>
      <c r="G21" s="9">
        <f>G20*Assumptions!$B$26</f>
        <v/>
      </c>
      <c r="H21" s="9">
        <f>H20*Assumptions!$B$26</f>
        <v/>
      </c>
      <c r="I21" s="9">
        <f>I20*Assumptions!$B$26</f>
        <v/>
      </c>
      <c r="J21" s="10" t="inlineStr">
        <is>
          <t>Benefits, equipment, software seats</t>
        </is>
      </c>
    </row>
    <row r="22">
      <c r="A22" s="17" t="inlineStr">
        <is>
          <t>TOTAL TEAM COST / MONTH</t>
        </is>
      </c>
      <c r="G22" s="20">
        <f>G20+G21</f>
        <v/>
      </c>
      <c r="H22" s="20">
        <f>H20+H21</f>
        <v/>
      </c>
      <c r="I22" s="20">
        <f>I20+I21</f>
        <v/>
      </c>
      <c r="J22" s="21" t="inlineStr">
        <is>
          <t>Phase D is calculated on the Phase D sheet of the forecast</t>
        </is>
      </c>
    </row>
    <row r="24">
      <c r="A24" s="22" t="inlineStr">
        <is>
          <t>Phase D detail (months 25–36)</t>
        </is>
      </c>
      <c r="B24" s="23" t="n"/>
      <c r="C24" s="23" t="n"/>
      <c r="D24" s="23" t="n"/>
    </row>
    <row r="25">
      <c r="A25" s="8" t="inlineStr">
        <is>
          <t>Phase D headcount</t>
        </is>
      </c>
      <c r="B25" s="25">
        <f>SUM(F5:F18)</f>
        <v/>
      </c>
    </row>
    <row r="26">
      <c r="A26" s="17" t="inlineStr">
        <is>
          <t>Phase D total monthly cost</t>
        </is>
      </c>
      <c r="B26" s="20">
        <f>SUMPRODUCT($B$5:$B$18,F5:F18)*(1+Assumptions!$B$26)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58" customWidth="1" min="7" max="7"/>
  </cols>
  <sheetData>
    <row r="1">
      <c r="A1" s="1" t="inlineStr">
        <is>
          <t>Infrastructure &amp; Cloud Costs</t>
        </is>
      </c>
    </row>
    <row r="2">
      <c r="A2" s="2" t="inlineStr">
        <is>
          <t>Monthly run-rate by growth stage. Aligned with business/SCALABILITY_PLAN.md.</t>
        </is>
      </c>
    </row>
    <row r="4" ht="30" customHeight="1">
      <c r="A4" s="7" t="inlineStr">
        <is>
          <t>Service</t>
        </is>
      </c>
      <c r="B4" s="7" t="inlineStr">
        <is>
          <t>Unit</t>
        </is>
      </c>
      <c r="C4" s="7" t="inlineStr">
        <is>
          <t>Stage 1
10K users</t>
        </is>
      </c>
      <c r="D4" s="7" t="inlineStr">
        <is>
          <t>Stage 2
100K</t>
        </is>
      </c>
      <c r="E4" s="7" t="inlineStr">
        <is>
          <t>Stage 3
1M</t>
        </is>
      </c>
      <c r="F4" s="7" t="inlineStr">
        <is>
          <t>Stage 4
10M</t>
        </is>
      </c>
      <c r="G4" s="7" t="inlineStr">
        <is>
          <t>Configuration / notes</t>
        </is>
      </c>
    </row>
    <row r="5">
      <c r="A5" s="8" t="inlineStr">
        <is>
          <t>Vercel / edge &amp; compute</t>
        </is>
      </c>
      <c r="B5" s="14" t="inlineStr">
        <is>
          <t>USD/mo</t>
        </is>
      </c>
      <c r="C5" s="26" t="n">
        <v>250</v>
      </c>
      <c r="D5" s="26" t="n">
        <v>2500</v>
      </c>
      <c r="E5" s="26" t="n">
        <v>18000</v>
      </c>
      <c r="F5" s="26" t="n">
        <v>120000</v>
      </c>
      <c r="G5" s="10" t="inlineStr">
        <is>
          <t>Functions, edges, bandwidth</t>
        </is>
      </c>
    </row>
    <row r="6">
      <c r="A6" s="8" t="inlineStr">
        <is>
          <t>MongoDB Atlas</t>
        </is>
      </c>
      <c r="B6" s="14" t="inlineStr">
        <is>
          <t>USD/mo</t>
        </is>
      </c>
      <c r="C6" s="26" t="n">
        <v>450</v>
      </c>
      <c r="D6" s="26" t="n">
        <v>4500</v>
      </c>
      <c r="E6" s="26" t="n">
        <v>35000</v>
      </c>
      <c r="F6" s="26" t="n">
        <v>250000</v>
      </c>
      <c r="G6" s="10" t="inlineStr">
        <is>
          <t>M40 → M60 → sharded M80+ → multi-region</t>
        </is>
      </c>
    </row>
    <row r="7">
      <c r="A7" s="8" t="inlineStr">
        <is>
          <t>AWS S3 storage</t>
        </is>
      </c>
      <c r="B7" s="14" t="inlineStr">
        <is>
          <t>USD/mo</t>
        </is>
      </c>
      <c r="C7" s="26" t="n">
        <v>620</v>
      </c>
      <c r="D7" s="26" t="n">
        <v>5800</v>
      </c>
      <c r="E7" s="26" t="n">
        <v>42000</v>
      </c>
      <c r="F7" s="26" t="n">
        <v>380000</v>
      </c>
      <c r="G7" s="10" t="inlineStr">
        <is>
          <t>Lifecycle tiering assumed at stages 2+</t>
        </is>
      </c>
    </row>
    <row r="8">
      <c r="A8" s="8" t="inlineStr">
        <is>
          <t>CDN / egress</t>
        </is>
      </c>
      <c r="B8" s="14" t="inlineStr">
        <is>
          <t>USD/mo</t>
        </is>
      </c>
      <c r="C8" s="26" t="n">
        <v>280</v>
      </c>
      <c r="D8" s="26" t="n">
        <v>5200</v>
      </c>
      <c r="E8" s="26" t="n">
        <v>45000</v>
      </c>
      <c r="F8" s="26" t="n">
        <v>320000</v>
      </c>
      <c r="G8" s="10" t="inlineStr">
        <is>
          <t>CloudFront; variants reduce payload</t>
        </is>
      </c>
    </row>
    <row r="9">
      <c r="A9" s="8" t="inlineStr">
        <is>
          <t>Redis / cache</t>
        </is>
      </c>
      <c r="B9" s="14" t="inlineStr">
        <is>
          <t>USD/mo</t>
        </is>
      </c>
      <c r="C9" s="26" t="n">
        <v>0</v>
      </c>
      <c r="D9" s="26" t="n">
        <v>600</v>
      </c>
      <c r="E9" s="26" t="n">
        <v>3000</v>
      </c>
      <c r="F9" s="26" t="n">
        <v>12000</v>
      </c>
      <c r="G9" s="10" t="inlineStr">
        <is>
          <t>Hot reads: plans, gallery page 1</t>
        </is>
      </c>
    </row>
    <row r="10">
      <c r="A10" s="8" t="inlineStr">
        <is>
          <t>Queues / streaming / workers</t>
        </is>
      </c>
      <c r="B10" s="14" t="inlineStr">
        <is>
          <t>USD/mo</t>
        </is>
      </c>
      <c r="C10" s="26" t="n">
        <v>0</v>
      </c>
      <c r="D10" s="26" t="n">
        <v>1000</v>
      </c>
      <c r="E10" s="26" t="n">
        <v>11000</v>
      </c>
      <c r="F10" s="26" t="n">
        <v>60000</v>
      </c>
      <c r="G10" s="10" t="inlineStr">
        <is>
          <t>SQS/BullMQ → Kafka → worker fleet</t>
        </is>
      </c>
    </row>
    <row r="11">
      <c r="A11" s="8" t="inlineStr">
        <is>
          <t>Monitoring, logs, tracing</t>
        </is>
      </c>
      <c r="B11" s="14" t="inlineStr">
        <is>
          <t>USD/mo</t>
        </is>
      </c>
      <c r="C11" s="26" t="n">
        <v>100</v>
      </c>
      <c r="D11" s="26" t="n">
        <v>800</v>
      </c>
      <c r="E11" s="26" t="n">
        <v>6000</v>
      </c>
      <c r="F11" s="26" t="n">
        <v>40000</v>
      </c>
      <c r="G11" s="10" t="inlineStr">
        <is>
          <t>Sentry/Logtail/Datadog class</t>
        </is>
      </c>
    </row>
    <row r="12">
      <c r="A12" s="8" t="inlineStr">
        <is>
          <t>Email + SMS</t>
        </is>
      </c>
      <c r="B12" s="14" t="inlineStr">
        <is>
          <t>USD/mo</t>
        </is>
      </c>
      <c r="C12" s="26" t="n">
        <v>150</v>
      </c>
      <c r="D12" s="26" t="n">
        <v>1200</v>
      </c>
      <c r="E12" s="26" t="n">
        <v>8000</v>
      </c>
      <c r="F12" s="26" t="n">
        <v>50000</v>
      </c>
      <c r="G12" s="10" t="inlineStr">
        <is>
          <t>SendGrid + Twilio</t>
        </is>
      </c>
    </row>
    <row r="13">
      <c r="A13" s="8" t="inlineStr">
        <is>
          <t>AI providers</t>
        </is>
      </c>
      <c r="B13" s="14" t="inlineStr">
        <is>
          <t>USD/mo</t>
        </is>
      </c>
      <c r="C13" s="26" t="n">
        <v>250</v>
      </c>
      <c r="D13" s="26" t="n">
        <v>2000</v>
      </c>
      <c r="E13" s="26" t="n">
        <v>15000</v>
      </c>
      <c r="F13" s="26" t="n">
        <v>100000</v>
      </c>
      <c r="G13" s="10" t="inlineStr">
        <is>
          <t>Groq + Together FLUX, credit-capped</t>
        </is>
      </c>
    </row>
    <row r="14">
      <c r="A14" s="8" t="inlineStr">
        <is>
          <t>Data warehouse</t>
        </is>
      </c>
      <c r="B14" s="14" t="inlineStr">
        <is>
          <t>USD/mo</t>
        </is>
      </c>
      <c r="C14" s="26" t="n">
        <v>0</v>
      </c>
      <c r="D14" s="26" t="n">
        <v>0</v>
      </c>
      <c r="E14" s="26" t="n">
        <v>3000</v>
      </c>
      <c r="F14" s="26" t="n">
        <v>30000</v>
      </c>
      <c r="G14" s="10" t="inlineStr">
        <is>
          <t>Analytics off the OLTP database</t>
        </is>
      </c>
    </row>
    <row r="15">
      <c r="A15" s="8" t="inlineStr">
        <is>
          <t>Domains, SSL, secrets, misc</t>
        </is>
      </c>
      <c r="B15" s="14" t="inlineStr">
        <is>
          <t>USD/mo</t>
        </is>
      </c>
      <c r="C15" s="26" t="n">
        <v>100</v>
      </c>
      <c r="D15" s="26" t="n">
        <v>500</v>
      </c>
      <c r="E15" s="26" t="n">
        <v>6000</v>
      </c>
      <c r="F15" s="26" t="n">
        <v>20000</v>
      </c>
      <c r="G15" s="10" t="inlineStr">
        <is>
          <t>Registrar, vault, certificates</t>
        </is>
      </c>
    </row>
    <row r="16">
      <c r="A16" s="17" t="inlineStr">
        <is>
          <t>TOTAL / month (USD)</t>
        </is>
      </c>
      <c r="B16" s="19" t="inlineStr"/>
      <c r="C16" s="27">
        <f>SUM(C5:C15)</f>
        <v/>
      </c>
      <c r="D16" s="27">
        <f>SUM(D5:D15)</f>
        <v/>
      </c>
      <c r="E16" s="27">
        <f>SUM(E5:E15)</f>
        <v/>
      </c>
      <c r="F16" s="27">
        <f>SUM(F5:F15)</f>
        <v/>
      </c>
      <c r="G16" s="19" t="inlineStr"/>
    </row>
    <row r="17">
      <c r="A17" s="17" t="inlineStr">
        <is>
          <t>TOTAL / month (INR)</t>
        </is>
      </c>
      <c r="B17" s="19" t="inlineStr"/>
      <c r="C17" s="20">
        <f>C16*Assumptions!$B$5</f>
        <v/>
      </c>
      <c r="D17" s="20">
        <f>D16*Assumptions!$B$5</f>
        <v/>
      </c>
      <c r="E17" s="20">
        <f>E16*Assumptions!$B$5</f>
        <v/>
      </c>
      <c r="F17" s="20">
        <f>F16*Assumptions!$B$5</f>
        <v/>
      </c>
      <c r="G17" s="19" t="inlineStr"/>
    </row>
    <row r="18">
      <c r="A18" s="17" t="inlineStr">
        <is>
          <t>TOTAL / year (INR)</t>
        </is>
      </c>
      <c r="B18" s="19" t="inlineStr"/>
      <c r="C18" s="20">
        <f>C17*12</f>
        <v/>
      </c>
      <c r="D18" s="20">
        <f>D17*12</f>
        <v/>
      </c>
      <c r="E18" s="20">
        <f>E17*12</f>
        <v/>
      </c>
      <c r="F18" s="20">
        <f>F17*12</f>
        <v/>
      </c>
      <c r="G18" s="19" t="inlineStr"/>
    </row>
    <row r="20">
      <c r="A20" s="22" t="inlineStr">
        <is>
          <t>Volume drivers used for the per-session figures</t>
        </is>
      </c>
      <c r="B20" s="23" t="n"/>
      <c r="C20" s="23" t="n"/>
      <c r="D20" s="23" t="n"/>
      <c r="E20" s="23" t="n"/>
      <c r="F20" s="23" t="n"/>
      <c r="G20" s="23" t="n"/>
    </row>
    <row r="21">
      <c r="A21" s="8" t="inlineStr">
        <is>
          <t>Sessions / month</t>
        </is>
      </c>
      <c r="C21" s="13" t="n">
        <v>490909</v>
      </c>
      <c r="D21" s="13" t="n">
        <v>4909091</v>
      </c>
      <c r="E21" s="13" t="n">
        <v>49090909</v>
      </c>
      <c r="F21" s="13" t="n">
        <v>490909091</v>
      </c>
    </row>
    <row r="22">
      <c r="A22" s="17" t="inlineStr">
        <is>
          <t>Infrastructure cost / session (INR)</t>
        </is>
      </c>
      <c r="C22" s="28">
        <f>C17/C21</f>
        <v/>
      </c>
      <c r="D22" s="28">
        <f>D17/D21</f>
        <v/>
      </c>
      <c r="E22" s="28">
        <f>E17/E21</f>
        <v/>
      </c>
      <c r="F22" s="28">
        <f>F17/F21</f>
        <v/>
      </c>
    </row>
    <row r="23">
      <c r="A23" s="8" t="inlineStr">
        <is>
          <t>Infrastructure cost / session (USD)</t>
        </is>
      </c>
      <c r="C23" s="29">
        <f>C16/C21</f>
        <v/>
      </c>
      <c r="D23" s="29">
        <f>D16/D21</f>
        <v/>
      </c>
      <c r="E23" s="29">
        <f>E16/E21</f>
        <v/>
      </c>
      <c r="F23" s="29">
        <f>F16/F21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48" customWidth="1" min="6" max="6"/>
  </cols>
  <sheetData>
    <row r="1">
      <c r="A1" s="1" t="inlineStr">
        <is>
          <t>Tools, Subscriptions &amp; One-off Purchases</t>
        </is>
      </c>
    </row>
    <row r="2">
      <c r="A2" s="2" t="inlineStr">
        <is>
          <t>Recurring software, licences and capital items. Renewal owner is in HANDOVER_REGISTER.xlsx.</t>
        </is>
      </c>
    </row>
    <row r="4" ht="30" customHeight="1">
      <c r="A4" s="7" t="inlineStr">
        <is>
          <t>Item</t>
        </is>
      </c>
      <c r="B4" s="7" t="inlineStr">
        <is>
          <t>Category</t>
        </is>
      </c>
      <c r="C4" s="7" t="inlineStr">
        <is>
          <t>Cost</t>
        </is>
      </c>
      <c r="D4" s="7" t="inlineStr">
        <is>
          <t>Billing</t>
        </is>
      </c>
      <c r="E4" s="7" t="inlineStr">
        <is>
          <t>Annual (INR)</t>
        </is>
      </c>
      <c r="F4" s="7" t="inlineStr">
        <is>
          <t>Notes</t>
        </is>
      </c>
    </row>
    <row r="5">
      <c r="A5" s="8" t="inlineStr">
        <is>
          <t>GitHub Team</t>
        </is>
      </c>
      <c r="B5" s="14" t="inlineStr">
        <is>
          <t>Development</t>
        </is>
      </c>
      <c r="C5" s="24" t="n">
        <v>3200</v>
      </c>
      <c r="D5" s="14" t="inlineStr">
        <is>
          <t>monthly</t>
        </is>
      </c>
      <c r="E5" s="9">
        <f>C5*12</f>
        <v/>
      </c>
      <c r="F5" s="10" t="inlineStr">
        <is>
          <t>Repos, Actions, secrets</t>
        </is>
      </c>
    </row>
    <row r="6">
      <c r="A6" s="8" t="inlineStr">
        <is>
          <t>Vercel Pro (4 projects)</t>
        </is>
      </c>
      <c r="B6" s="14" t="inlineStr">
        <is>
          <t>Hosting</t>
        </is>
      </c>
      <c r="C6" s="24" t="n">
        <v>17000</v>
      </c>
      <c r="D6" s="14" t="inlineStr">
        <is>
          <t>monthly</t>
        </is>
      </c>
      <c r="E6" s="9">
        <f>C6*12</f>
        <v/>
      </c>
      <c r="F6" s="10" t="inlineStr">
        <is>
          <t>Includes team seats</t>
        </is>
      </c>
    </row>
    <row r="7">
      <c r="A7" s="8" t="inlineStr">
        <is>
          <t>MongoDB Atlas</t>
        </is>
      </c>
      <c r="B7" s="14" t="inlineStr">
        <is>
          <t>Database</t>
        </is>
      </c>
      <c r="C7" s="24" t="n">
        <v>38000</v>
      </c>
      <c r="D7" s="14" t="inlineStr">
        <is>
          <t>monthly</t>
        </is>
      </c>
      <c r="E7" s="9">
        <f>C7*12</f>
        <v/>
      </c>
      <c r="F7" s="10" t="inlineStr">
        <is>
          <t>Stage 1 tier</t>
        </is>
      </c>
    </row>
    <row r="8">
      <c r="A8" s="8" t="inlineStr">
        <is>
          <t>AWS (S3 + CloudFront)</t>
        </is>
      </c>
      <c r="B8" s="14" t="inlineStr">
        <is>
          <t>Storage</t>
        </is>
      </c>
      <c r="C8" s="24" t="n">
        <v>52000</v>
      </c>
      <c r="D8" s="14" t="inlineStr">
        <is>
          <t>monthly</t>
        </is>
      </c>
      <c r="E8" s="9">
        <f>C8*12</f>
        <v/>
      </c>
      <c r="F8" s="10" t="inlineStr">
        <is>
          <t>Stage 1 estimate</t>
        </is>
      </c>
    </row>
    <row r="9">
      <c r="A9" s="8" t="inlineStr">
        <is>
          <t>Cloudflare (DNS/WAF)</t>
        </is>
      </c>
      <c r="B9" s="14" t="inlineStr">
        <is>
          <t>Network</t>
        </is>
      </c>
      <c r="C9" s="24" t="n">
        <v>1700</v>
      </c>
      <c r="D9" s="14" t="inlineStr">
        <is>
          <t>monthly</t>
        </is>
      </c>
      <c r="E9" s="9">
        <f>C9*12</f>
        <v/>
      </c>
      <c r="F9" s="10" t="inlineStr">
        <is>
          <t>Pro plan</t>
        </is>
      </c>
    </row>
    <row r="10">
      <c r="A10" s="8" t="inlineStr">
        <is>
          <t>Sentry</t>
        </is>
      </c>
      <c r="B10" s="14" t="inlineStr">
        <is>
          <t>Monitoring</t>
        </is>
      </c>
      <c r="C10" s="24" t="n">
        <v>4200</v>
      </c>
      <c r="D10" s="14" t="inlineStr">
        <is>
          <t>monthly</t>
        </is>
      </c>
      <c r="E10" s="9">
        <f>C10*12</f>
        <v/>
      </c>
      <c r="F10" s="10" t="inlineStr">
        <is>
          <t>Error tracking</t>
        </is>
      </c>
    </row>
    <row r="11">
      <c r="A11" s="8" t="inlineStr">
        <is>
          <t>Logtail / Better Stack</t>
        </is>
      </c>
      <c r="B11" s="14" t="inlineStr">
        <is>
          <t>Monitoring</t>
        </is>
      </c>
      <c r="C11" s="24" t="n">
        <v>2500</v>
      </c>
      <c r="D11" s="14" t="inlineStr">
        <is>
          <t>monthly</t>
        </is>
      </c>
      <c r="E11" s="9">
        <f>C11*12</f>
        <v/>
      </c>
      <c r="F11" s="10" t="inlineStr">
        <is>
          <t>Logs + uptime</t>
        </is>
      </c>
    </row>
    <row r="12">
      <c r="A12" s="8" t="inlineStr">
        <is>
          <t>SendGrid</t>
        </is>
      </c>
      <c r="B12" s="14" t="inlineStr">
        <is>
          <t>Comms</t>
        </is>
      </c>
      <c r="C12" s="24" t="n">
        <v>3400</v>
      </c>
      <c r="D12" s="14" t="inlineStr">
        <is>
          <t>monthly</t>
        </is>
      </c>
      <c r="E12" s="9">
        <f>C12*12</f>
        <v/>
      </c>
      <c r="F12" s="10" t="inlineStr">
        <is>
          <t>Transactional email</t>
        </is>
      </c>
    </row>
    <row r="13">
      <c r="A13" s="8" t="inlineStr">
        <is>
          <t>Twilio</t>
        </is>
      </c>
      <c r="B13" s="14" t="inlineStr">
        <is>
          <t>Comms</t>
        </is>
      </c>
      <c r="C13" s="24" t="n">
        <v>8400</v>
      </c>
      <c r="D13" s="14" t="inlineStr">
        <is>
          <t>monthly</t>
        </is>
      </c>
      <c r="E13" s="9">
        <f>C13*12</f>
        <v/>
      </c>
      <c r="F13" s="10" t="inlineStr">
        <is>
          <t>SMS, India DLT</t>
        </is>
      </c>
    </row>
    <row r="14">
      <c r="A14" s="8" t="inlineStr">
        <is>
          <t>Razorpay</t>
        </is>
      </c>
      <c r="B14" s="14" t="inlineStr">
        <is>
          <t>Payments</t>
        </is>
      </c>
      <c r="C14" s="24" t="n">
        <v>0</v>
      </c>
      <c r="D14" s="14" t="inlineStr">
        <is>
          <t>per-transaction</t>
        </is>
      </c>
      <c r="E14" s="9" t="n">
        <v>0</v>
      </c>
      <c r="F14" s="10" t="inlineStr">
        <is>
          <t>MDR modelled in Payments_Fees</t>
        </is>
      </c>
    </row>
    <row r="15">
      <c r="A15" s="8" t="inlineStr">
        <is>
          <t>Google Workspace (10 seats)</t>
        </is>
      </c>
      <c r="B15" s="14" t="inlineStr">
        <is>
          <t>Productivity</t>
        </is>
      </c>
      <c r="C15" s="24" t="n">
        <v>12000</v>
      </c>
      <c r="D15" s="14" t="inlineStr">
        <is>
          <t>monthly</t>
        </is>
      </c>
      <c r="E15" s="9">
        <f>C15*12</f>
        <v/>
      </c>
      <c r="F15" s="10" t="inlineStr">
        <is>
          <t>Email + docs</t>
        </is>
      </c>
    </row>
    <row r="16">
      <c r="A16" s="8" t="inlineStr">
        <is>
          <t>Figma</t>
        </is>
      </c>
      <c r="B16" s="14" t="inlineStr">
        <is>
          <t>Design</t>
        </is>
      </c>
      <c r="C16" s="24" t="n">
        <v>3800</v>
      </c>
      <c r="D16" s="14" t="inlineStr">
        <is>
          <t>monthly</t>
        </is>
      </c>
      <c r="E16" s="9">
        <f>C16*12</f>
        <v/>
      </c>
      <c r="F16" s="10" t="inlineStr">
        <is>
          <t>Team plan</t>
        </is>
      </c>
    </row>
    <row r="17">
      <c r="A17" s="8" t="inlineStr">
        <is>
          <t>Windows code-signing certificate</t>
        </is>
      </c>
      <c r="B17" s="14" t="inlineStr">
        <is>
          <t>Legal/Signing</t>
        </is>
      </c>
      <c r="C17" s="24" t="n">
        <v>42000</v>
      </c>
      <c r="D17" s="14" t="inlineStr">
        <is>
          <t>annual</t>
        </is>
      </c>
      <c r="E17" s="9">
        <f>C17</f>
        <v/>
      </c>
      <c r="F17" s="10" t="inlineStr">
        <is>
          <t>SmartScreen reputation</t>
        </is>
      </c>
    </row>
    <row r="18">
      <c r="A18" s="8" t="inlineStr">
        <is>
          <t>Apple Developer Program</t>
        </is>
      </c>
      <c r="B18" s="14" t="inlineStr">
        <is>
          <t>Legal/Signing</t>
        </is>
      </c>
      <c r="C18" s="24" t="n">
        <v>8500</v>
      </c>
      <c r="D18" s="14" t="inlineStr">
        <is>
          <t>annual</t>
        </is>
      </c>
      <c r="E18" s="9">
        <f>C18</f>
        <v/>
      </c>
      <c r="F18" s="10" t="inlineStr">
        <is>
          <t>macOS distribution</t>
        </is>
      </c>
    </row>
    <row r="19">
      <c r="A19" s="8" t="inlineStr">
        <is>
          <t>Google Play developer account</t>
        </is>
      </c>
      <c r="B19" s="14" t="inlineStr">
        <is>
          <t>Legal/Signing</t>
        </is>
      </c>
      <c r="C19" s="24" t="n">
        <v>2200</v>
      </c>
      <c r="D19" s="14" t="inlineStr">
        <is>
          <t>one-time</t>
        </is>
      </c>
      <c r="E19" s="9">
        <f>C19</f>
        <v/>
      </c>
      <c r="F19" s="10" t="inlineStr">
        <is>
          <t>Android distribution</t>
        </is>
      </c>
    </row>
    <row r="20">
      <c r="A20" s="8" t="inlineStr">
        <is>
          <t>DNP CyStat / printer drivers</t>
        </is>
      </c>
      <c r="B20" s="14" t="inlineStr">
        <is>
          <t>Hardware</t>
        </is>
      </c>
      <c r="C20" s="24" t="n">
        <v>0</v>
      </c>
      <c r="D20" s="14" t="inlineStr">
        <is>
          <t>bundled</t>
        </is>
      </c>
      <c r="E20" s="9" t="n">
        <v>0</v>
      </c>
      <c r="F20" s="10" t="inlineStr">
        <is>
          <t>Ships with vendor drivers</t>
        </is>
      </c>
    </row>
    <row r="21">
      <c r="A21" s="8" t="inlineStr">
        <is>
          <t>Accountant retainer</t>
        </is>
      </c>
      <c r="B21" s="14" t="inlineStr">
        <is>
          <t>Finance</t>
        </is>
      </c>
      <c r="C21" s="24" t="n">
        <v>12000</v>
      </c>
      <c r="D21" s="14" t="inlineStr">
        <is>
          <t>monthly</t>
        </is>
      </c>
      <c r="E21" s="9">
        <f>C21*12</f>
        <v/>
      </c>
      <c r="F21" s="10" t="inlineStr">
        <is>
          <t>GST, payroll, filings</t>
        </is>
      </c>
    </row>
    <row r="22">
      <c r="A22" s="8" t="inlineStr">
        <is>
          <t>Legal retainer</t>
        </is>
      </c>
      <c r="B22" s="14" t="inlineStr">
        <is>
          <t>Legal/Signing</t>
        </is>
      </c>
      <c r="C22" s="24" t="n">
        <v>15000</v>
      </c>
      <c r="D22" s="14" t="inlineStr">
        <is>
          <t>monthly</t>
        </is>
      </c>
      <c r="E22" s="9">
        <f>C22*12</f>
        <v/>
      </c>
      <c r="F22" s="10" t="inlineStr">
        <is>
          <t>Contracts, privacy, disputes</t>
        </is>
      </c>
    </row>
    <row r="23">
      <c r="A23" s="8" t="inlineStr">
        <is>
          <t>D&amp;O / liability insurance</t>
        </is>
      </c>
      <c r="B23" s="14" t="inlineStr">
        <is>
          <t>Legal/Signing</t>
        </is>
      </c>
      <c r="C23" s="24" t="n">
        <v>18000</v>
      </c>
      <c r="D23" s="14" t="inlineStr">
        <is>
          <t>annual</t>
        </is>
      </c>
      <c r="E23" s="9">
        <f>C23</f>
        <v/>
      </c>
      <c r="F23" s="10" t="inlineStr">
        <is>
          <t>Recommended before enterprise</t>
        </is>
      </c>
    </row>
    <row r="24">
      <c r="A24" s="8" t="inlineStr">
        <is>
          <t>Domain renewals (3)</t>
        </is>
      </c>
      <c r="B24" s="14" t="inlineStr">
        <is>
          <t>Network</t>
        </is>
      </c>
      <c r="C24" s="24" t="n">
        <v>4500</v>
      </c>
      <c r="D24" s="14" t="inlineStr">
        <is>
          <t>annual</t>
        </is>
      </c>
      <c r="E24" s="9">
        <f>C24</f>
        <v/>
      </c>
      <c r="F24" s="10" t="inlineStr">
        <is>
          <t>happypix.in + subdomains</t>
        </is>
      </c>
    </row>
    <row r="25">
      <c r="A25" s="17" t="inlineStr">
        <is>
          <t>TOTAL</t>
        </is>
      </c>
      <c r="E25" s="20">
        <f>SUM(E5:E24)</f>
        <v/>
      </c>
      <c r="F25" s="21" t="inlineStr">
        <is>
          <t>Annualised run-rate (excludes transaction-based fees)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52" customWidth="1" min="5" max="5"/>
  </cols>
  <sheetData>
    <row r="1">
      <c r="A1" s="1" t="inlineStr">
        <is>
          <t>Payments, Fees, Taxes &amp; Compliance Costs</t>
        </is>
      </c>
    </row>
    <row r="2">
      <c r="A2" s="2" t="inlineStr">
        <is>
          <t>Transaction economics and the recurring cost of being a compliant business.</t>
        </is>
      </c>
    </row>
    <row r="4" ht="30" customHeight="1">
      <c r="A4" s="7" t="inlineStr">
        <is>
          <t>Item</t>
        </is>
      </c>
      <c r="B4" s="7" t="inlineStr">
        <is>
          <t>Basis</t>
        </is>
      </c>
      <c r="C4" s="7" t="inlineStr">
        <is>
          <t>Rate / amount</t>
        </is>
      </c>
      <c r="D4" s="7" t="inlineStr">
        <is>
          <t>Annual impact (INR)</t>
        </is>
      </c>
      <c r="E4" s="7" t="inlineStr">
        <is>
          <t>Notes</t>
        </is>
      </c>
    </row>
    <row r="5">
      <c r="A5" s="8" t="inlineStr">
        <is>
          <t>Subscription revenue (year 1)</t>
        </is>
      </c>
      <c r="B5" s="14" t="inlineStr">
        <is>
          <t>INR</t>
        </is>
      </c>
      <c r="C5" s="24" t="n">
        <v>12000000</v>
      </c>
      <c r="D5" s="9">
        <f>C5</f>
        <v/>
      </c>
    </row>
    <row r="6">
      <c r="A6" s="8" t="inlineStr">
        <is>
          <t>Payment gateway MDR (blended)</t>
        </is>
      </c>
      <c r="B6" s="14" t="inlineStr">
        <is>
          <t>% of revenue</t>
        </is>
      </c>
      <c r="C6" s="30">
        <f>Assumptions!$B$12*Assumptions!$B$14+Assumptions!$B$13*(1-Assumptions!$B$14)</f>
        <v/>
      </c>
      <c r="D6" s="9">
        <f>C5*C6</f>
        <v/>
      </c>
      <c r="E6" s="10" t="inlineStr">
        <is>
          <t>Cards 2%, UPI 0% — weighted by card share</t>
        </is>
      </c>
    </row>
    <row r="7">
      <c r="A7" s="8" t="inlineStr">
        <is>
          <t>Refunds &amp; goodwill</t>
        </is>
      </c>
      <c r="B7" s="14" t="inlineStr">
        <is>
          <t>% of revenue</t>
        </is>
      </c>
      <c r="C7" s="16" t="n">
        <v>0.015</v>
      </c>
      <c r="D7" s="9">
        <f>C5*C7</f>
        <v/>
      </c>
      <c r="E7" s="10" t="inlineStr">
        <is>
          <t>1.5% provision for refunds and disputes</t>
        </is>
      </c>
    </row>
    <row r="8">
      <c r="A8" s="8" t="inlineStr">
        <is>
          <t>GST on subscriptions (collected, not cost)</t>
        </is>
      </c>
      <c r="B8" s="14" t="inlineStr">
        <is>
          <t>% of revenue</t>
        </is>
      </c>
      <c r="C8" s="16" t="n">
        <v>0.18</v>
      </c>
      <c r="D8" s="9">
        <f>C5*C8</f>
        <v/>
      </c>
      <c r="E8" s="10" t="inlineStr">
        <is>
          <t>Pass-through liability; shown for completeness</t>
        </is>
      </c>
    </row>
    <row r="9">
      <c r="A9" s="8" t="inlineStr">
        <is>
          <t>Chargeback fees</t>
        </is>
      </c>
      <c r="B9" s="14" t="inlineStr">
        <is>
          <t>count × fee</t>
        </is>
      </c>
      <c r="C9" s="13" t="n">
        <v>24</v>
      </c>
      <c r="D9" s="9">
        <f>C9*Assumptions!$B$17</f>
        <v/>
      </c>
      <c r="E9" s="10" t="inlineStr">
        <is>
          <t>Estimated annual dispute count × ₹500</t>
        </is>
      </c>
    </row>
    <row r="11">
      <c r="A11" s="22" t="inlineStr">
        <is>
          <t>Compliance &amp; professional costs</t>
        </is>
      </c>
      <c r="B11" s="23" t="n"/>
      <c r="C11" s="23" t="n"/>
      <c r="D11" s="23" t="n"/>
      <c r="E11" s="23" t="n"/>
    </row>
    <row r="12" ht="30" customHeight="1">
      <c r="A12" s="7" t="inlineStr">
        <is>
          <t>Item</t>
        </is>
      </c>
      <c r="B12" s="7" t="inlineStr">
        <is>
          <t>Frequency</t>
        </is>
      </c>
      <c r="C12" s="7" t="inlineStr">
        <is>
          <t>Cost per period</t>
        </is>
      </c>
      <c r="D12" s="7" t="inlineStr">
        <is>
          <t>Annual (INR)</t>
        </is>
      </c>
      <c r="E12" s="7" t="inlineStr">
        <is>
          <t>Notes</t>
        </is>
      </c>
    </row>
    <row r="13">
      <c r="A13" s="8" t="inlineStr">
        <is>
          <t>Statutory audit / CA retainer</t>
        </is>
      </c>
      <c r="B13" s="14" t="inlineStr">
        <is>
          <t>monthly</t>
        </is>
      </c>
      <c r="C13" s="24" t="n">
        <v>12000</v>
      </c>
      <c r="D13" s="9">
        <f>C13*12</f>
        <v/>
      </c>
      <c r="E13" s="10" t="inlineStr">
        <is>
          <t>GST, TDS, payroll, filings</t>
        </is>
      </c>
    </row>
    <row r="14">
      <c r="A14" s="8" t="inlineStr">
        <is>
          <t>Company secretarial</t>
        </is>
      </c>
      <c r="B14" s="14" t="inlineStr">
        <is>
          <t>annual</t>
        </is>
      </c>
      <c r="C14" s="24" t="n">
        <v>25000</v>
      </c>
      <c r="D14" s="9">
        <f>C14</f>
        <v/>
      </c>
      <c r="E14" s="10" t="inlineStr">
        <is>
          <t>ROC filings, board minutes</t>
        </is>
      </c>
    </row>
    <row r="15">
      <c r="A15" s="8" t="inlineStr">
        <is>
          <t>Privacy policy &amp; ToS updates</t>
        </is>
      </c>
      <c r="B15" s="14" t="inlineStr">
        <is>
          <t>annual</t>
        </is>
      </c>
      <c r="C15" s="24" t="n">
        <v>40000</v>
      </c>
      <c r="D15" s="9">
        <f>C15</f>
        <v/>
      </c>
      <c r="E15" s="10" t="inlineStr">
        <is>
          <t>Counsel review</t>
        </is>
      </c>
    </row>
    <row r="16">
      <c r="A16" s="8" t="inlineStr">
        <is>
          <t>Security review</t>
        </is>
      </c>
      <c r="B16" s="14" t="inlineStr">
        <is>
          <t>annual</t>
        </is>
      </c>
      <c r="C16" s="24" t="n">
        <v>180000</v>
      </c>
      <c r="D16" s="9">
        <f>C16</f>
        <v/>
      </c>
      <c r="E16" s="10" t="inlineStr">
        <is>
          <t>Annual light pen test</t>
        </is>
      </c>
    </row>
    <row r="17">
      <c r="A17" s="8" t="inlineStr">
        <is>
          <t>Insurance (liability + cyber)</t>
        </is>
      </c>
      <c r="B17" s="14" t="inlineStr">
        <is>
          <t>annual</t>
        </is>
      </c>
      <c r="C17" s="24" t="n">
        <v>55000</v>
      </c>
      <c r="D17" s="9">
        <f>C17</f>
        <v/>
      </c>
      <c r="E17" s="10" t="inlineStr">
        <is>
          <t>Recommended for enterprise deals</t>
        </is>
      </c>
    </row>
    <row r="18">
      <c r="A18" s="8" t="inlineStr">
        <is>
          <t>Trademark renewals (amortised)</t>
        </is>
      </c>
      <c r="B18" s="14" t="inlineStr">
        <is>
          <t>annual</t>
        </is>
      </c>
      <c r="C18" s="24" t="n">
        <v>9000</v>
      </c>
      <c r="D18" s="9">
        <f>C18</f>
        <v/>
      </c>
      <c r="E18" s="10" t="inlineStr">
        <is>
          <t>10-year filings amortised</t>
        </is>
      </c>
    </row>
    <row r="19">
      <c r="A19" s="8" t="inlineStr">
        <is>
          <t>PCI self-assessment support</t>
        </is>
      </c>
      <c r="B19" s="14" t="inlineStr">
        <is>
          <t>annual</t>
        </is>
      </c>
      <c r="C19" s="24" t="n">
        <v>30000</v>
      </c>
      <c r="D19" s="9">
        <f>C19</f>
        <v/>
      </c>
      <c r="E19" s="10" t="inlineStr">
        <is>
          <t>Questionnaire + evidence</t>
        </is>
      </c>
    </row>
    <row r="20">
      <c r="A20" s="8" t="inlineStr">
        <is>
          <t>Data protection officer (part-time)</t>
        </is>
      </c>
      <c r="B20" s="14" t="inlineStr">
        <is>
          <t>monthly</t>
        </is>
      </c>
      <c r="C20" s="24" t="n">
        <v>25000</v>
      </c>
      <c r="D20" s="9">
        <f>C20*12</f>
        <v/>
      </c>
      <c r="E20" s="10" t="inlineStr">
        <is>
          <t>If scale requires it</t>
        </is>
      </c>
    </row>
    <row r="21">
      <c r="A21" s="17" t="inlineStr">
        <is>
          <t>Total compliance</t>
        </is>
      </c>
      <c r="D21" s="20">
        <f>SUM(D13:D20)</f>
        <v/>
      </c>
    </row>
    <row r="23">
      <c r="A23" s="17" t="inlineStr">
        <is>
          <t>TOTAL PAYMENT + COMPLIANCE COST</t>
        </is>
      </c>
      <c r="D23" s="20">
        <f>D6+D7+D9+D21</f>
        <v/>
      </c>
    </row>
    <row r="24">
      <c r="A24" s="12" t="inlineStr">
        <is>
          <t>GST collected is excluded from the total — it is a pass-through liability, not a cost.</t>
        </is>
      </c>
    </row>
  </sheetData>
  <mergeCells count="1">
    <mergeCell ref="A24:E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52" customWidth="1" min="5" max="5"/>
  </cols>
  <sheetData>
    <row r="1">
      <c r="A1" s="1" t="inlineStr">
        <is>
          <t>Marketing, Sales, Support &amp; Hardware Replacement</t>
        </is>
      </c>
    </row>
    <row r="2">
      <c r="A2" s="2" t="inlineStr">
        <is>
          <t>The costs that actually decide whether a photobooth SaaS makes money.</t>
        </is>
      </c>
    </row>
    <row r="4" ht="30" customHeight="1">
      <c r="A4" s="7" t="inlineStr">
        <is>
          <t>Item</t>
        </is>
      </c>
      <c r="B4" s="7" t="inlineStr">
        <is>
          <t>Driver</t>
        </is>
      </c>
      <c r="C4" s="7" t="inlineStr">
        <is>
          <t>Unit cost (INR)</t>
        </is>
      </c>
      <c r="D4" s="7" t="inlineStr">
        <is>
          <t>Annual (INR)</t>
        </is>
      </c>
      <c r="E4" s="7" t="inlineStr">
        <is>
          <t>Notes</t>
        </is>
      </c>
    </row>
    <row r="5">
      <c r="A5" s="8" t="inlineStr">
        <is>
          <t>New organizations per year</t>
        </is>
      </c>
      <c r="B5" s="14" t="inlineStr">
        <is>
          <t>target</t>
        </is>
      </c>
      <c r="C5" s="13" t="n">
        <v>420</v>
      </c>
    </row>
    <row r="6">
      <c r="A6" s="8" t="inlineStr">
        <is>
          <t>Blended CAC</t>
        </is>
      </c>
      <c r="B6" s="14" t="inlineStr">
        <is>
          <t>per org</t>
        </is>
      </c>
      <c r="C6" s="24" t="n">
        <v>6000</v>
      </c>
      <c r="D6" s="9">
        <f>C5*C6</f>
        <v/>
      </c>
      <c r="E6" s="10" t="inlineStr">
        <is>
          <t>Content, ads, events, partner commission</t>
        </is>
      </c>
    </row>
    <row r="7">
      <c r="A7" s="8" t="inlineStr">
        <is>
          <t>Marketing tooling &amp; content</t>
        </is>
      </c>
      <c r="B7" s="14" t="inlineStr">
        <is>
          <t>monthly</t>
        </is>
      </c>
      <c r="C7" s="24" t="n">
        <v>35000</v>
      </c>
      <c r="D7" s="9">
        <f>C7*12</f>
        <v/>
      </c>
      <c r="E7" s="10" t="inlineStr">
        <is>
          <t>CRM for sales, email, design, video</t>
        </is>
      </c>
    </row>
    <row r="8">
      <c r="A8" s="8" t="inlineStr">
        <is>
          <t>Event presence (trade shows, showcases)</t>
        </is>
      </c>
      <c r="B8" s="14" t="inlineStr">
        <is>
          <t>annual</t>
        </is>
      </c>
      <c r="C8" s="24" t="n">
        <v>350000</v>
      </c>
      <c r="D8" s="9">
        <f>C8</f>
        <v/>
      </c>
      <c r="E8" s="10" t="inlineStr">
        <is>
          <t>3–4 showcases per year</t>
        </is>
      </c>
    </row>
    <row r="9">
      <c r="A9" s="8" t="inlineStr">
        <is>
          <t>Support cost per organization</t>
        </is>
      </c>
      <c r="B9" s="14" t="inlineStr">
        <is>
          <t>monthly</t>
        </is>
      </c>
      <c r="C9" s="24" t="n">
        <v>180</v>
      </c>
      <c r="D9" s="9">
        <f>C9*12*900</f>
        <v/>
      </c>
      <c r="E9" s="10" t="inlineStr">
        <is>
          <t>Loaded support cost × 900 average active orgs</t>
        </is>
      </c>
    </row>
    <row r="10">
      <c r="A10" s="8" t="inlineStr">
        <is>
          <t>Onboarding &amp; training (per new org)</t>
        </is>
      </c>
      <c r="B10" s="14" t="inlineStr">
        <is>
          <t>per org</t>
        </is>
      </c>
      <c r="C10" s="24" t="n">
        <v>900</v>
      </c>
      <c r="D10" s="9">
        <f>C5*C10</f>
        <v/>
      </c>
      <c r="E10" s="10" t="inlineStr">
        <is>
          <t>Setup call, template help, hardware guidance</t>
        </is>
      </c>
    </row>
    <row r="11">
      <c r="A11" s="8" t="inlineStr">
        <is>
          <t>Hardware replacement provision</t>
        </is>
      </c>
      <c r="B11" s="14" t="inlineStr">
        <is>
          <t>% of fleet value</t>
        </is>
      </c>
      <c r="C11" s="16" t="n">
        <v>0.06</v>
      </c>
      <c r="D11" s="9">
        <f>3800000*C11</f>
        <v/>
      </c>
      <c r="E11" s="10" t="inlineStr">
        <is>
          <t>6% of ₹38L demo/pilot fleet value per year</t>
        </is>
      </c>
    </row>
    <row r="12">
      <c r="A12" s="8" t="inlineStr">
        <is>
          <t>Spare media stock</t>
        </is>
      </c>
      <c r="B12" s="14" t="inlineStr">
        <is>
          <t>annual</t>
        </is>
      </c>
      <c r="C12" s="24" t="n">
        <v>140000</v>
      </c>
      <c r="D12" s="9">
        <f>C12</f>
        <v/>
      </c>
      <c r="E12" s="10" t="inlineStr">
        <is>
          <t>Rolls for demos, pilots and replacements</t>
        </is>
      </c>
    </row>
    <row r="13">
      <c r="A13" s="17" t="inlineStr">
        <is>
          <t>Subtotal</t>
        </is>
      </c>
      <c r="D13" s="20">
        <f>SUM(D5:D12)</f>
        <v/>
      </c>
    </row>
    <row r="14">
      <c r="A14" s="8" t="inlineStr">
        <is>
          <t>Contingency (8%)</t>
        </is>
      </c>
      <c r="D14" s="9">
        <f>D13*Assumptions!$B$25</f>
        <v/>
      </c>
    </row>
    <row r="15">
      <c r="A15" s="17" t="inlineStr">
        <is>
          <t>TOTAL</t>
        </is>
      </c>
      <c r="D15" s="20">
        <f>D13*1.08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1.5" customWidth="1" min="46" max="46"/>
    <col width="11.5" customWidth="1" min="47" max="47"/>
    <col width="11.5" customWidth="1" min="48" max="48"/>
    <col width="11.5" customWidth="1" min="49" max="49"/>
    <col width="11.5" customWidth="1" min="50" max="50"/>
  </cols>
  <sheetData>
    <row r="1">
      <c r="A1" s="1" t="inlineStr">
        <is>
          <t>48-Month Forecast (P&amp;L, Cash &amp; Runway)</t>
        </is>
      </c>
    </row>
    <row r="2">
      <c r="A2" s="2" t="inlineStr">
        <is>
          <t>New orgs, churn, funding and cash are inputs (yellow). Every other line is calculated.</t>
        </is>
      </c>
    </row>
    <row r="4" ht="30" customHeight="1">
      <c r="A4" s="7" t="inlineStr">
        <is>
          <t>Line item</t>
        </is>
      </c>
      <c r="B4" s="7" t="inlineStr">
        <is>
          <t>Unit</t>
        </is>
      </c>
      <c r="C4" s="7" t="inlineStr">
        <is>
          <t>M1</t>
        </is>
      </c>
      <c r="D4" s="7" t="inlineStr">
        <is>
          <t>M2</t>
        </is>
      </c>
      <c r="E4" s="7" t="inlineStr">
        <is>
          <t>M3</t>
        </is>
      </c>
      <c r="F4" s="7" t="inlineStr">
        <is>
          <t>M4</t>
        </is>
      </c>
      <c r="G4" s="7" t="inlineStr">
        <is>
          <t>M5</t>
        </is>
      </c>
      <c r="H4" s="7" t="inlineStr">
        <is>
          <t>M6</t>
        </is>
      </c>
      <c r="I4" s="7" t="inlineStr">
        <is>
          <t>M7</t>
        </is>
      </c>
      <c r="J4" s="7" t="inlineStr">
        <is>
          <t>M8</t>
        </is>
      </c>
      <c r="K4" s="7" t="inlineStr">
        <is>
          <t>M9</t>
        </is>
      </c>
      <c r="L4" s="7" t="inlineStr">
        <is>
          <t>M10</t>
        </is>
      </c>
      <c r="M4" s="7" t="inlineStr">
        <is>
          <t>M11</t>
        </is>
      </c>
      <c r="N4" s="7" t="inlineStr">
        <is>
          <t>M12</t>
        </is>
      </c>
      <c r="O4" s="7" t="inlineStr">
        <is>
          <t>M13</t>
        </is>
      </c>
      <c r="P4" s="7" t="inlineStr">
        <is>
          <t>M14</t>
        </is>
      </c>
      <c r="Q4" s="7" t="inlineStr">
        <is>
          <t>M15</t>
        </is>
      </c>
      <c r="R4" s="7" t="inlineStr">
        <is>
          <t>M16</t>
        </is>
      </c>
      <c r="S4" s="7" t="inlineStr">
        <is>
          <t>M17</t>
        </is>
      </c>
      <c r="T4" s="7" t="inlineStr">
        <is>
          <t>M18</t>
        </is>
      </c>
      <c r="U4" s="7" t="inlineStr">
        <is>
          <t>M19</t>
        </is>
      </c>
      <c r="V4" s="7" t="inlineStr">
        <is>
          <t>M20</t>
        </is>
      </c>
      <c r="W4" s="7" t="inlineStr">
        <is>
          <t>M21</t>
        </is>
      </c>
      <c r="X4" s="7" t="inlineStr">
        <is>
          <t>M22</t>
        </is>
      </c>
      <c r="Y4" s="7" t="inlineStr">
        <is>
          <t>M23</t>
        </is>
      </c>
      <c r="Z4" s="7" t="inlineStr">
        <is>
          <t>M24</t>
        </is>
      </c>
      <c r="AA4" s="7" t="inlineStr">
        <is>
          <t>M25</t>
        </is>
      </c>
      <c r="AB4" s="7" t="inlineStr">
        <is>
          <t>M26</t>
        </is>
      </c>
      <c r="AC4" s="7" t="inlineStr">
        <is>
          <t>M27</t>
        </is>
      </c>
      <c r="AD4" s="7" t="inlineStr">
        <is>
          <t>M28</t>
        </is>
      </c>
      <c r="AE4" s="7" t="inlineStr">
        <is>
          <t>M29</t>
        </is>
      </c>
      <c r="AF4" s="7" t="inlineStr">
        <is>
          <t>M30</t>
        </is>
      </c>
      <c r="AG4" s="7" t="inlineStr">
        <is>
          <t>M31</t>
        </is>
      </c>
      <c r="AH4" s="7" t="inlineStr">
        <is>
          <t>M32</t>
        </is>
      </c>
      <c r="AI4" s="7" t="inlineStr">
        <is>
          <t>M33</t>
        </is>
      </c>
      <c r="AJ4" s="7" t="inlineStr">
        <is>
          <t>M34</t>
        </is>
      </c>
      <c r="AK4" s="7" t="inlineStr">
        <is>
          <t>M35</t>
        </is>
      </c>
      <c r="AL4" s="7" t="inlineStr">
        <is>
          <t>M36</t>
        </is>
      </c>
      <c r="AM4" s="7" t="inlineStr">
        <is>
          <t>M37</t>
        </is>
      </c>
      <c r="AN4" s="7" t="inlineStr">
        <is>
          <t>M38</t>
        </is>
      </c>
      <c r="AO4" s="7" t="inlineStr">
        <is>
          <t>M39</t>
        </is>
      </c>
      <c r="AP4" s="7" t="inlineStr">
        <is>
          <t>M40</t>
        </is>
      </c>
      <c r="AQ4" s="7" t="inlineStr">
        <is>
          <t>M41</t>
        </is>
      </c>
      <c r="AR4" s="7" t="inlineStr">
        <is>
          <t>M42</t>
        </is>
      </c>
      <c r="AS4" s="7" t="inlineStr">
        <is>
          <t>M43</t>
        </is>
      </c>
      <c r="AT4" s="7" t="inlineStr">
        <is>
          <t>M44</t>
        </is>
      </c>
      <c r="AU4" s="7" t="inlineStr">
        <is>
          <t>M45</t>
        </is>
      </c>
      <c r="AV4" s="7" t="inlineStr">
        <is>
          <t>M46</t>
        </is>
      </c>
      <c r="AW4" s="7" t="inlineStr">
        <is>
          <t>M47</t>
        </is>
      </c>
      <c r="AX4" s="7" t="inlineStr">
        <is>
          <t>M48</t>
        </is>
      </c>
    </row>
    <row r="5">
      <c r="A5" s="8" t="inlineStr">
        <is>
          <t>New orgs</t>
        </is>
      </c>
      <c r="B5" s="14" t="inlineStr">
        <is>
          <t>orgs</t>
        </is>
      </c>
      <c r="C5" s="13" t="n">
        <v>28</v>
      </c>
      <c r="D5" s="13" t="n">
        <v>34</v>
      </c>
      <c r="E5" s="13" t="n">
        <v>39</v>
      </c>
      <c r="F5" s="13" t="n">
        <v>44</v>
      </c>
      <c r="G5" s="13" t="n">
        <v>50</v>
      </c>
      <c r="H5" s="13" t="n">
        <v>56</v>
      </c>
      <c r="I5" s="13" t="n">
        <v>61</v>
      </c>
      <c r="J5" s="13" t="n">
        <v>66</v>
      </c>
      <c r="K5" s="13" t="n">
        <v>72</v>
      </c>
      <c r="L5" s="13" t="n">
        <v>78</v>
      </c>
      <c r="M5" s="13" t="n">
        <v>83</v>
      </c>
      <c r="N5" s="13" t="n">
        <v>88</v>
      </c>
      <c r="O5" s="13" t="n">
        <v>94</v>
      </c>
      <c r="P5" s="13" t="n">
        <v>100</v>
      </c>
      <c r="Q5" s="13" t="n">
        <v>105</v>
      </c>
      <c r="R5" s="13" t="n">
        <v>110</v>
      </c>
      <c r="S5" s="13" t="n">
        <v>116</v>
      </c>
      <c r="T5" s="13" t="n">
        <v>122</v>
      </c>
      <c r="U5" s="13" t="n">
        <v>127</v>
      </c>
      <c r="V5" s="13" t="n">
        <v>132</v>
      </c>
      <c r="W5" s="13" t="n">
        <v>138</v>
      </c>
      <c r="X5" s="13" t="n">
        <v>144</v>
      </c>
      <c r="Y5" s="13" t="n">
        <v>149</v>
      </c>
      <c r="Z5" s="13" t="n">
        <v>154</v>
      </c>
      <c r="AA5" s="13" t="n">
        <v>160</v>
      </c>
      <c r="AB5" s="13" t="n">
        <v>166</v>
      </c>
      <c r="AC5" s="13" t="n">
        <v>171</v>
      </c>
      <c r="AD5" s="13" t="n">
        <v>176</v>
      </c>
      <c r="AE5" s="13" t="n">
        <v>182</v>
      </c>
      <c r="AF5" s="13" t="n">
        <v>188</v>
      </c>
      <c r="AG5" s="13" t="n">
        <v>193</v>
      </c>
      <c r="AH5" s="13" t="n">
        <v>198</v>
      </c>
      <c r="AI5" s="13" t="n">
        <v>204</v>
      </c>
      <c r="AJ5" s="13" t="n">
        <v>210</v>
      </c>
      <c r="AK5" s="13" t="n">
        <v>215</v>
      </c>
      <c r="AL5" s="13" t="n">
        <v>220</v>
      </c>
      <c r="AM5" s="13" t="n">
        <v>226</v>
      </c>
      <c r="AN5" s="13" t="n">
        <v>232</v>
      </c>
      <c r="AO5" s="13" t="n">
        <v>237</v>
      </c>
      <c r="AP5" s="13" t="n">
        <v>242</v>
      </c>
      <c r="AQ5" s="13" t="n">
        <v>248</v>
      </c>
      <c r="AR5" s="13" t="n">
        <v>254</v>
      </c>
      <c r="AS5" s="13" t="n">
        <v>259</v>
      </c>
      <c r="AT5" s="13" t="n">
        <v>264</v>
      </c>
      <c r="AU5" s="13" t="n">
        <v>270</v>
      </c>
      <c r="AV5" s="13" t="n">
        <v>276</v>
      </c>
      <c r="AW5" s="13" t="n">
        <v>281</v>
      </c>
      <c r="AX5" s="13" t="n">
        <v>286</v>
      </c>
    </row>
    <row r="6">
      <c r="A6" s="8" t="inlineStr">
        <is>
          <t>Churn %</t>
        </is>
      </c>
      <c r="B6" s="14" t="inlineStr">
        <is>
          <t>%</t>
        </is>
      </c>
      <c r="C6" s="16" t="n">
        <v>0.034</v>
      </c>
      <c r="D6" s="16" t="n">
        <v>0.03368</v>
      </c>
      <c r="E6" s="16" t="n">
        <v>0.03336</v>
      </c>
      <c r="F6" s="16" t="n">
        <v>0.03304</v>
      </c>
      <c r="G6" s="16" t="n">
        <v>0.03272</v>
      </c>
      <c r="H6" s="16" t="n">
        <v>0.0324</v>
      </c>
      <c r="I6" s="16" t="n">
        <v>0.03208</v>
      </c>
      <c r="J6" s="16" t="n">
        <v>0.03176</v>
      </c>
      <c r="K6" s="16" t="n">
        <v>0.03144</v>
      </c>
      <c r="L6" s="16" t="n">
        <v>0.03112</v>
      </c>
      <c r="M6" s="16" t="n">
        <v>0.0308</v>
      </c>
      <c r="N6" s="16" t="n">
        <v>0.03048</v>
      </c>
      <c r="O6" s="16" t="n">
        <v>0.03016</v>
      </c>
      <c r="P6" s="16" t="n">
        <v>0.02984</v>
      </c>
      <c r="Q6" s="16" t="n">
        <v>0.02952</v>
      </c>
      <c r="R6" s="16" t="n">
        <v>0.0292</v>
      </c>
      <c r="S6" s="16" t="n">
        <v>0.02888</v>
      </c>
      <c r="T6" s="16" t="n">
        <v>0.02856</v>
      </c>
      <c r="U6" s="16" t="n">
        <v>0.02824</v>
      </c>
      <c r="V6" s="16" t="n">
        <v>0.02792</v>
      </c>
      <c r="W6" s="16" t="n">
        <v>0.0276</v>
      </c>
      <c r="X6" s="16" t="n">
        <v>0.02728</v>
      </c>
      <c r="Y6" s="16" t="n">
        <v>0.02696</v>
      </c>
      <c r="Z6" s="16" t="n">
        <v>0.02664</v>
      </c>
      <c r="AA6" s="16" t="n">
        <v>0.02632</v>
      </c>
      <c r="AB6" s="16" t="n">
        <v>0.026</v>
      </c>
      <c r="AC6" s="16" t="n">
        <v>0.02568</v>
      </c>
      <c r="AD6" s="16" t="n">
        <v>0.02536</v>
      </c>
      <c r="AE6" s="16" t="n">
        <v>0.02504</v>
      </c>
      <c r="AF6" s="16" t="n">
        <v>0.02472</v>
      </c>
      <c r="AG6" s="16" t="n">
        <v>0.0244</v>
      </c>
      <c r="AH6" s="16" t="n">
        <v>0.02408</v>
      </c>
      <c r="AI6" s="16" t="n">
        <v>0.02376</v>
      </c>
      <c r="AJ6" s="16" t="n">
        <v>0.02344</v>
      </c>
      <c r="AK6" s="16" t="n">
        <v>0.02312</v>
      </c>
      <c r="AL6" s="16" t="n">
        <v>0.0228</v>
      </c>
      <c r="AM6" s="16" t="n">
        <v>0.02248</v>
      </c>
      <c r="AN6" s="16" t="n">
        <v>0.02216</v>
      </c>
      <c r="AO6" s="16" t="n">
        <v>0.02184</v>
      </c>
      <c r="AP6" s="16" t="n">
        <v>0.02152</v>
      </c>
      <c r="AQ6" s="16" t="n">
        <v>0.0212</v>
      </c>
      <c r="AR6" s="16" t="n">
        <v>0.02088</v>
      </c>
      <c r="AS6" s="16" t="n">
        <v>0.02056</v>
      </c>
      <c r="AT6" s="16" t="n">
        <v>0.02024</v>
      </c>
      <c r="AU6" s="16" t="n">
        <v>0.01992</v>
      </c>
      <c r="AV6" s="16" t="n">
        <v>0.0196</v>
      </c>
      <c r="AW6" s="16" t="n">
        <v>0.01928</v>
      </c>
      <c r="AX6" s="16" t="n">
        <v>0.019</v>
      </c>
    </row>
    <row r="7">
      <c r="A7" s="14" t="inlineStr">
        <is>
          <t>Active orgs (end)</t>
        </is>
      </c>
      <c r="B7" s="14" t="inlineStr">
        <is>
          <t>orgs</t>
        </is>
      </c>
      <c r="C7" s="11">
        <f>C5*(1-C6)</f>
        <v/>
      </c>
      <c r="D7" s="11">
        <f>C7*(1-D6)+D5</f>
        <v/>
      </c>
      <c r="E7" s="11">
        <f>D7*(1-E6)+E5</f>
        <v/>
      </c>
      <c r="F7" s="11">
        <f>E7*(1-F6)+F5</f>
        <v/>
      </c>
      <c r="G7" s="11">
        <f>F7*(1-G6)+G5</f>
        <v/>
      </c>
      <c r="H7" s="11">
        <f>G7*(1-H6)+H5</f>
        <v/>
      </c>
      <c r="I7" s="11">
        <f>H7*(1-I6)+I5</f>
        <v/>
      </c>
      <c r="J7" s="11">
        <f>I7*(1-J6)+J5</f>
        <v/>
      </c>
      <c r="K7" s="11">
        <f>J7*(1-K6)+K5</f>
        <v/>
      </c>
      <c r="L7" s="11">
        <f>K7*(1-L6)+L5</f>
        <v/>
      </c>
      <c r="M7" s="11">
        <f>L7*(1-M6)+M5</f>
        <v/>
      </c>
      <c r="N7" s="11">
        <f>M7*(1-N6)+N5</f>
        <v/>
      </c>
      <c r="O7" s="11">
        <f>N7*(1-O6)+O5</f>
        <v/>
      </c>
      <c r="P7" s="11">
        <f>O7*(1-P6)+P5</f>
        <v/>
      </c>
      <c r="Q7" s="11">
        <f>P7*(1-Q6)+Q5</f>
        <v/>
      </c>
      <c r="R7" s="11">
        <f>Q7*(1-R6)+R5</f>
        <v/>
      </c>
      <c r="S7" s="11">
        <f>R7*(1-S6)+S5</f>
        <v/>
      </c>
      <c r="T7" s="11">
        <f>S7*(1-T6)+T5</f>
        <v/>
      </c>
      <c r="U7" s="11">
        <f>T7*(1-U6)+U5</f>
        <v/>
      </c>
      <c r="V7" s="11">
        <f>U7*(1-V6)+V5</f>
        <v/>
      </c>
      <c r="W7" s="11">
        <f>V7*(1-W6)+W5</f>
        <v/>
      </c>
      <c r="X7" s="11">
        <f>W7*(1-X6)+X5</f>
        <v/>
      </c>
      <c r="Y7" s="11">
        <f>X7*(1-Y6)+Y5</f>
        <v/>
      </c>
      <c r="Z7" s="11">
        <f>Y7*(1-Z6)+Z5</f>
        <v/>
      </c>
      <c r="AA7" s="11">
        <f>Z7*(1-AA6)+AA5</f>
        <v/>
      </c>
      <c r="AB7" s="11">
        <f>AA7*(1-AB6)+AB5</f>
        <v/>
      </c>
      <c r="AC7" s="11">
        <f>AB7*(1-AC6)+AC5</f>
        <v/>
      </c>
      <c r="AD7" s="11">
        <f>AC7*(1-AD6)+AD5</f>
        <v/>
      </c>
      <c r="AE7" s="11">
        <f>AD7*(1-AE6)+AE5</f>
        <v/>
      </c>
      <c r="AF7" s="11">
        <f>AE7*(1-AF6)+AF5</f>
        <v/>
      </c>
      <c r="AG7" s="11">
        <f>AF7*(1-AG6)+AG5</f>
        <v/>
      </c>
      <c r="AH7" s="11">
        <f>AG7*(1-AH6)+AH5</f>
        <v/>
      </c>
      <c r="AI7" s="11">
        <f>AH7*(1-AI6)+AI5</f>
        <v/>
      </c>
      <c r="AJ7" s="11">
        <f>AI7*(1-AJ6)+AJ5</f>
        <v/>
      </c>
      <c r="AK7" s="11">
        <f>AJ7*(1-AK6)+AK5</f>
        <v/>
      </c>
      <c r="AL7" s="11">
        <f>AK7*(1-AL6)+AL5</f>
        <v/>
      </c>
      <c r="AM7" s="11">
        <f>AL7*(1-AM6)+AM5</f>
        <v/>
      </c>
      <c r="AN7" s="11">
        <f>AM7*(1-AN6)+AN5</f>
        <v/>
      </c>
      <c r="AO7" s="11">
        <f>AN7*(1-AO6)+AO5</f>
        <v/>
      </c>
      <c r="AP7" s="11">
        <f>AO7*(1-AP6)+AP5</f>
        <v/>
      </c>
      <c r="AQ7" s="11">
        <f>AP7*(1-AQ6)+AQ5</f>
        <v/>
      </c>
      <c r="AR7" s="11">
        <f>AQ7*(1-AR6)+AR5</f>
        <v/>
      </c>
      <c r="AS7" s="11">
        <f>AR7*(1-AS6)+AS5</f>
        <v/>
      </c>
      <c r="AT7" s="11">
        <f>AS7*(1-AT6)+AT5</f>
        <v/>
      </c>
      <c r="AU7" s="11">
        <f>AT7*(1-AU6)+AU5</f>
        <v/>
      </c>
      <c r="AV7" s="11">
        <f>AU7*(1-AV6)+AV5</f>
        <v/>
      </c>
      <c r="AW7" s="11">
        <f>AV7*(1-AW6)+AW5</f>
        <v/>
      </c>
      <c r="AX7" s="11">
        <f>AW7*(1-AX6)+AX5</f>
        <v/>
      </c>
    </row>
    <row r="8">
      <c r="A8" s="14" t="inlineStr">
        <is>
          <t>ARPU</t>
        </is>
      </c>
      <c r="B8" s="14" t="inlineStr">
        <is>
          <t>INR</t>
        </is>
      </c>
      <c r="C8" s="9">
        <f>Assumptions!$B$7*(1+0.0018*(1-1))</f>
        <v/>
      </c>
      <c r="D8" s="9">
        <f>Assumptions!$B$7*(1+0.0018*(2-1))</f>
        <v/>
      </c>
      <c r="E8" s="9">
        <f>Assumptions!$B$7*(1+0.0018*(3-1))</f>
        <v/>
      </c>
      <c r="F8" s="9">
        <f>Assumptions!$B$7*(1+0.0018*(4-1))</f>
        <v/>
      </c>
      <c r="G8" s="9">
        <f>Assumptions!$B$7*(1+0.0018*(5-1))</f>
        <v/>
      </c>
      <c r="H8" s="9">
        <f>Assumptions!$B$7*(1+0.0018*(6-1))</f>
        <v/>
      </c>
      <c r="I8" s="9">
        <f>Assumptions!$B$7*(1+0.0018*(7-1))</f>
        <v/>
      </c>
      <c r="J8" s="9">
        <f>Assumptions!$B$7*(1+0.0018*(8-1))</f>
        <v/>
      </c>
      <c r="K8" s="9">
        <f>Assumptions!$B$7*(1+0.0018*(9-1))</f>
        <v/>
      </c>
      <c r="L8" s="9">
        <f>Assumptions!$B$7*(1+0.0018*(10-1))</f>
        <v/>
      </c>
      <c r="M8" s="9">
        <f>Assumptions!$B$7*(1+0.0018*(11-1))</f>
        <v/>
      </c>
      <c r="N8" s="9">
        <f>Assumptions!$B$7*(1+0.0018*(12-1))</f>
        <v/>
      </c>
      <c r="O8" s="9">
        <f>Assumptions!$B$7*(1+0.0018*(13-1))</f>
        <v/>
      </c>
      <c r="P8" s="9">
        <f>Assumptions!$B$7*(1+0.0018*(14-1))</f>
        <v/>
      </c>
      <c r="Q8" s="9">
        <f>Assumptions!$B$7*(1+0.0018*(15-1))</f>
        <v/>
      </c>
      <c r="R8" s="9">
        <f>Assumptions!$B$7*(1+0.0018*(16-1))</f>
        <v/>
      </c>
      <c r="S8" s="9">
        <f>Assumptions!$B$7*(1+0.0018*(17-1))</f>
        <v/>
      </c>
      <c r="T8" s="9">
        <f>Assumptions!$B$7*(1+0.0018*(18-1))</f>
        <v/>
      </c>
      <c r="U8" s="9">
        <f>Assumptions!$B$7*(1+0.0018*(19-1))</f>
        <v/>
      </c>
      <c r="V8" s="9">
        <f>Assumptions!$B$7*(1+0.0018*(20-1))</f>
        <v/>
      </c>
      <c r="W8" s="9">
        <f>Assumptions!$B$7*(1+0.0018*(21-1))</f>
        <v/>
      </c>
      <c r="X8" s="9">
        <f>Assumptions!$B$7*(1+0.0018*(22-1))</f>
        <v/>
      </c>
      <c r="Y8" s="9">
        <f>Assumptions!$B$7*(1+0.0018*(23-1))</f>
        <v/>
      </c>
      <c r="Z8" s="9">
        <f>Assumptions!$B$7*(1+0.0018*(24-1))</f>
        <v/>
      </c>
      <c r="AA8" s="9">
        <f>Assumptions!$B$7*(1+0.0018*(25-1))</f>
        <v/>
      </c>
      <c r="AB8" s="9">
        <f>Assumptions!$B$7*(1+0.0018*(26-1))</f>
        <v/>
      </c>
      <c r="AC8" s="9">
        <f>Assumptions!$B$7*(1+0.0018*(27-1))</f>
        <v/>
      </c>
      <c r="AD8" s="9">
        <f>Assumptions!$B$7*(1+0.0018*(28-1))</f>
        <v/>
      </c>
      <c r="AE8" s="9">
        <f>Assumptions!$B$7*(1+0.0018*(29-1))</f>
        <v/>
      </c>
      <c r="AF8" s="9">
        <f>Assumptions!$B$7*(1+0.0018*(30-1))</f>
        <v/>
      </c>
      <c r="AG8" s="9">
        <f>Assumptions!$B$7*(1+0.0018*(31-1))</f>
        <v/>
      </c>
      <c r="AH8" s="9">
        <f>Assumptions!$B$7*(1+0.0018*(32-1))</f>
        <v/>
      </c>
      <c r="AI8" s="9">
        <f>Assumptions!$B$7*(1+0.0018*(33-1))</f>
        <v/>
      </c>
      <c r="AJ8" s="9">
        <f>Assumptions!$B$7*(1+0.0018*(34-1))</f>
        <v/>
      </c>
      <c r="AK8" s="9">
        <f>Assumptions!$B$7*(1+0.0018*(35-1))</f>
        <v/>
      </c>
      <c r="AL8" s="9">
        <f>Assumptions!$B$7*(1+0.0018*(36-1))</f>
        <v/>
      </c>
      <c r="AM8" s="9">
        <f>Assumptions!$B$7*(1+0.0018*(37-1))</f>
        <v/>
      </c>
      <c r="AN8" s="9">
        <f>Assumptions!$B$7*(1+0.0018*(38-1))</f>
        <v/>
      </c>
      <c r="AO8" s="9">
        <f>Assumptions!$B$7*(1+0.0018*(39-1))</f>
        <v/>
      </c>
      <c r="AP8" s="9">
        <f>Assumptions!$B$7*(1+0.0018*(40-1))</f>
        <v/>
      </c>
      <c r="AQ8" s="9">
        <f>Assumptions!$B$7*(1+0.0018*(41-1))</f>
        <v/>
      </c>
      <c r="AR8" s="9">
        <f>Assumptions!$B$7*(1+0.0018*(42-1))</f>
        <v/>
      </c>
      <c r="AS8" s="9">
        <f>Assumptions!$B$7*(1+0.0018*(43-1))</f>
        <v/>
      </c>
      <c r="AT8" s="9">
        <f>Assumptions!$B$7*(1+0.0018*(44-1))</f>
        <v/>
      </c>
      <c r="AU8" s="9">
        <f>Assumptions!$B$7*(1+0.0018*(45-1))</f>
        <v/>
      </c>
      <c r="AV8" s="9">
        <f>Assumptions!$B$7*(1+0.0018*(46-1))</f>
        <v/>
      </c>
      <c r="AW8" s="9">
        <f>Assumptions!$B$7*(1+0.0018*(47-1))</f>
        <v/>
      </c>
      <c r="AX8" s="9">
        <f>Assumptions!$B$7*(1+0.0018*(48-1))</f>
        <v/>
      </c>
    </row>
    <row r="9">
      <c r="A9" s="14" t="inlineStr">
        <is>
          <t>Subscription revenue</t>
        </is>
      </c>
      <c r="B9" s="14" t="inlineStr">
        <is>
          <t>INR</t>
        </is>
      </c>
      <c r="C9" s="9">
        <f>C7*C8</f>
        <v/>
      </c>
      <c r="D9" s="9">
        <f>D7*D8</f>
        <v/>
      </c>
      <c r="E9" s="9">
        <f>E7*E8</f>
        <v/>
      </c>
      <c r="F9" s="9">
        <f>F7*F8</f>
        <v/>
      </c>
      <c r="G9" s="9">
        <f>G7*G8</f>
        <v/>
      </c>
      <c r="H9" s="9">
        <f>H7*H8</f>
        <v/>
      </c>
      <c r="I9" s="9">
        <f>I7*I8</f>
        <v/>
      </c>
      <c r="J9" s="9">
        <f>J7*J8</f>
        <v/>
      </c>
      <c r="K9" s="9">
        <f>K7*K8</f>
        <v/>
      </c>
      <c r="L9" s="9">
        <f>L7*L8</f>
        <v/>
      </c>
      <c r="M9" s="9">
        <f>M7*M8</f>
        <v/>
      </c>
      <c r="N9" s="9">
        <f>N7*N8</f>
        <v/>
      </c>
      <c r="O9" s="9">
        <f>O7*O8</f>
        <v/>
      </c>
      <c r="P9" s="9">
        <f>P7*P8</f>
        <v/>
      </c>
      <c r="Q9" s="9">
        <f>Q7*Q8</f>
        <v/>
      </c>
      <c r="R9" s="9">
        <f>R7*R8</f>
        <v/>
      </c>
      <c r="S9" s="9">
        <f>S7*S8</f>
        <v/>
      </c>
      <c r="T9" s="9">
        <f>T7*T8</f>
        <v/>
      </c>
      <c r="U9" s="9">
        <f>U7*U8</f>
        <v/>
      </c>
      <c r="V9" s="9">
        <f>V7*V8</f>
        <v/>
      </c>
      <c r="W9" s="9">
        <f>W7*W8</f>
        <v/>
      </c>
      <c r="X9" s="9">
        <f>X7*X8</f>
        <v/>
      </c>
      <c r="Y9" s="9">
        <f>Y7*Y8</f>
        <v/>
      </c>
      <c r="Z9" s="9">
        <f>Z7*Z8</f>
        <v/>
      </c>
      <c r="AA9" s="9">
        <f>AA7*AA8</f>
        <v/>
      </c>
      <c r="AB9" s="9">
        <f>AB7*AB8</f>
        <v/>
      </c>
      <c r="AC9" s="9">
        <f>AC7*AC8</f>
        <v/>
      </c>
      <c r="AD9" s="9">
        <f>AD7*AD8</f>
        <v/>
      </c>
      <c r="AE9" s="9">
        <f>AE7*AE8</f>
        <v/>
      </c>
      <c r="AF9" s="9">
        <f>AF7*AF8</f>
        <v/>
      </c>
      <c r="AG9" s="9">
        <f>AG7*AG8</f>
        <v/>
      </c>
      <c r="AH9" s="9">
        <f>AH7*AH8</f>
        <v/>
      </c>
      <c r="AI9" s="9">
        <f>AI7*AI8</f>
        <v/>
      </c>
      <c r="AJ9" s="9">
        <f>AJ7*AJ8</f>
        <v/>
      </c>
      <c r="AK9" s="9">
        <f>AK7*AK8</f>
        <v/>
      </c>
      <c r="AL9" s="9">
        <f>AL7*AL8</f>
        <v/>
      </c>
      <c r="AM9" s="9">
        <f>AM7*AM8</f>
        <v/>
      </c>
      <c r="AN9" s="9">
        <f>AN7*AN8</f>
        <v/>
      </c>
      <c r="AO9" s="9">
        <f>AO7*AO8</f>
        <v/>
      </c>
      <c r="AP9" s="9">
        <f>AP7*AP8</f>
        <v/>
      </c>
      <c r="AQ9" s="9">
        <f>AQ7*AQ8</f>
        <v/>
      </c>
      <c r="AR9" s="9">
        <f>AR7*AR8</f>
        <v/>
      </c>
      <c r="AS9" s="9">
        <f>AS7*AS8</f>
        <v/>
      </c>
      <c r="AT9" s="9">
        <f>AT7*AT8</f>
        <v/>
      </c>
      <c r="AU9" s="9">
        <f>AU7*AU8</f>
        <v/>
      </c>
      <c r="AV9" s="9">
        <f>AV7*AV8</f>
        <v/>
      </c>
      <c r="AW9" s="9">
        <f>AW7*AW8</f>
        <v/>
      </c>
      <c r="AX9" s="9">
        <f>AX7*AX8</f>
        <v/>
      </c>
    </row>
    <row r="10">
      <c r="A10" s="14" t="inlineStr">
        <is>
          <t>Add-on revenue</t>
        </is>
      </c>
      <c r="B10" s="14" t="inlineStr">
        <is>
          <t>INR</t>
        </is>
      </c>
      <c r="C10" s="9">
        <f>C7*Assumptions!$B$8*Assumptions!$B$9</f>
        <v/>
      </c>
      <c r="D10" s="9">
        <f>D7*Assumptions!$B$8*Assumptions!$B$9</f>
        <v/>
      </c>
      <c r="E10" s="9">
        <f>E7*Assumptions!$B$8*Assumptions!$B$9</f>
        <v/>
      </c>
      <c r="F10" s="9">
        <f>F7*Assumptions!$B$8*Assumptions!$B$9</f>
        <v/>
      </c>
      <c r="G10" s="9">
        <f>G7*Assumptions!$B$8*Assumptions!$B$9</f>
        <v/>
      </c>
      <c r="H10" s="9">
        <f>H7*Assumptions!$B$8*Assumptions!$B$9</f>
        <v/>
      </c>
      <c r="I10" s="9">
        <f>I7*Assumptions!$B$8*Assumptions!$B$9</f>
        <v/>
      </c>
      <c r="J10" s="9">
        <f>J7*Assumptions!$B$8*Assumptions!$B$9</f>
        <v/>
      </c>
      <c r="K10" s="9">
        <f>K7*Assumptions!$B$8*Assumptions!$B$9</f>
        <v/>
      </c>
      <c r="L10" s="9">
        <f>L7*Assumptions!$B$8*Assumptions!$B$9</f>
        <v/>
      </c>
      <c r="M10" s="9">
        <f>M7*Assumptions!$B$8*Assumptions!$B$9</f>
        <v/>
      </c>
      <c r="N10" s="9">
        <f>N7*Assumptions!$B$8*Assumptions!$B$9</f>
        <v/>
      </c>
      <c r="O10" s="9">
        <f>O7*Assumptions!$B$8*Assumptions!$B$9</f>
        <v/>
      </c>
      <c r="P10" s="9">
        <f>P7*Assumptions!$B$8*Assumptions!$B$9</f>
        <v/>
      </c>
      <c r="Q10" s="9">
        <f>Q7*Assumptions!$B$8*Assumptions!$B$9</f>
        <v/>
      </c>
      <c r="R10" s="9">
        <f>R7*Assumptions!$B$8*Assumptions!$B$9</f>
        <v/>
      </c>
      <c r="S10" s="9">
        <f>S7*Assumptions!$B$8*Assumptions!$B$9</f>
        <v/>
      </c>
      <c r="T10" s="9">
        <f>T7*Assumptions!$B$8*Assumptions!$B$9</f>
        <v/>
      </c>
      <c r="U10" s="9">
        <f>U7*Assumptions!$B$8*Assumptions!$B$9</f>
        <v/>
      </c>
      <c r="V10" s="9">
        <f>V7*Assumptions!$B$8*Assumptions!$B$9</f>
        <v/>
      </c>
      <c r="W10" s="9">
        <f>W7*Assumptions!$B$8*Assumptions!$B$9</f>
        <v/>
      </c>
      <c r="X10" s="9">
        <f>X7*Assumptions!$B$8*Assumptions!$B$9</f>
        <v/>
      </c>
      <c r="Y10" s="9">
        <f>Y7*Assumptions!$B$8*Assumptions!$B$9</f>
        <v/>
      </c>
      <c r="Z10" s="9">
        <f>Z7*Assumptions!$B$8*Assumptions!$B$9</f>
        <v/>
      </c>
      <c r="AA10" s="9">
        <f>AA7*Assumptions!$B$8*Assumptions!$B$9</f>
        <v/>
      </c>
      <c r="AB10" s="9">
        <f>AB7*Assumptions!$B$8*Assumptions!$B$9</f>
        <v/>
      </c>
      <c r="AC10" s="9">
        <f>AC7*Assumptions!$B$8*Assumptions!$B$9</f>
        <v/>
      </c>
      <c r="AD10" s="9">
        <f>AD7*Assumptions!$B$8*Assumptions!$B$9</f>
        <v/>
      </c>
      <c r="AE10" s="9">
        <f>AE7*Assumptions!$B$8*Assumptions!$B$9</f>
        <v/>
      </c>
      <c r="AF10" s="9">
        <f>AF7*Assumptions!$B$8*Assumptions!$B$9</f>
        <v/>
      </c>
      <c r="AG10" s="9">
        <f>AG7*Assumptions!$B$8*Assumptions!$B$9</f>
        <v/>
      </c>
      <c r="AH10" s="9">
        <f>AH7*Assumptions!$B$8*Assumptions!$B$9</f>
        <v/>
      </c>
      <c r="AI10" s="9">
        <f>AI7*Assumptions!$B$8*Assumptions!$B$9</f>
        <v/>
      </c>
      <c r="AJ10" s="9">
        <f>AJ7*Assumptions!$B$8*Assumptions!$B$9</f>
        <v/>
      </c>
      <c r="AK10" s="9">
        <f>AK7*Assumptions!$B$8*Assumptions!$B$9</f>
        <v/>
      </c>
      <c r="AL10" s="9">
        <f>AL7*Assumptions!$B$8*Assumptions!$B$9</f>
        <v/>
      </c>
      <c r="AM10" s="9">
        <f>AM7*Assumptions!$B$8*Assumptions!$B$9</f>
        <v/>
      </c>
      <c r="AN10" s="9">
        <f>AN7*Assumptions!$B$8*Assumptions!$B$9</f>
        <v/>
      </c>
      <c r="AO10" s="9">
        <f>AO7*Assumptions!$B$8*Assumptions!$B$9</f>
        <v/>
      </c>
      <c r="AP10" s="9">
        <f>AP7*Assumptions!$B$8*Assumptions!$B$9</f>
        <v/>
      </c>
      <c r="AQ10" s="9">
        <f>AQ7*Assumptions!$B$8*Assumptions!$B$9</f>
        <v/>
      </c>
      <c r="AR10" s="9">
        <f>AR7*Assumptions!$B$8*Assumptions!$B$9</f>
        <v/>
      </c>
      <c r="AS10" s="9">
        <f>AS7*Assumptions!$B$8*Assumptions!$B$9</f>
        <v/>
      </c>
      <c r="AT10" s="9">
        <f>AT7*Assumptions!$B$8*Assumptions!$B$9</f>
        <v/>
      </c>
      <c r="AU10" s="9">
        <f>AU7*Assumptions!$B$8*Assumptions!$B$9</f>
        <v/>
      </c>
      <c r="AV10" s="9">
        <f>AV7*Assumptions!$B$8*Assumptions!$B$9</f>
        <v/>
      </c>
      <c r="AW10" s="9">
        <f>AW7*Assumptions!$B$8*Assumptions!$B$9</f>
        <v/>
      </c>
      <c r="AX10" s="9">
        <f>AX7*Assumptions!$B$8*Assumptions!$B$9</f>
        <v/>
      </c>
    </row>
    <row r="11">
      <c r="A11" s="17" t="inlineStr">
        <is>
          <t>TOTAL REVENUE</t>
        </is>
      </c>
      <c r="B11" s="19" t="inlineStr">
        <is>
          <t>INR</t>
        </is>
      </c>
      <c r="C11" s="20">
        <f>C9+C10</f>
        <v/>
      </c>
      <c r="D11" s="20">
        <f>D9+D10</f>
        <v/>
      </c>
      <c r="E11" s="20">
        <f>E9+E10</f>
        <v/>
      </c>
      <c r="F11" s="20">
        <f>F9+F10</f>
        <v/>
      </c>
      <c r="G11" s="20">
        <f>G9+G10</f>
        <v/>
      </c>
      <c r="H11" s="20">
        <f>H9+H10</f>
        <v/>
      </c>
      <c r="I11" s="20">
        <f>I9+I10</f>
        <v/>
      </c>
      <c r="J11" s="20">
        <f>J9+J10</f>
        <v/>
      </c>
      <c r="K11" s="20">
        <f>K9+K10</f>
        <v/>
      </c>
      <c r="L11" s="20">
        <f>L9+L10</f>
        <v/>
      </c>
      <c r="M11" s="20">
        <f>M9+M10</f>
        <v/>
      </c>
      <c r="N11" s="20">
        <f>N9+N10</f>
        <v/>
      </c>
      <c r="O11" s="20">
        <f>O9+O10</f>
        <v/>
      </c>
      <c r="P11" s="20">
        <f>P9+P10</f>
        <v/>
      </c>
      <c r="Q11" s="20">
        <f>Q9+Q10</f>
        <v/>
      </c>
      <c r="R11" s="20">
        <f>R9+R10</f>
        <v/>
      </c>
      <c r="S11" s="20">
        <f>S9+S10</f>
        <v/>
      </c>
      <c r="T11" s="20">
        <f>T9+T10</f>
        <v/>
      </c>
      <c r="U11" s="20">
        <f>U9+U10</f>
        <v/>
      </c>
      <c r="V11" s="20">
        <f>V9+V10</f>
        <v/>
      </c>
      <c r="W11" s="20">
        <f>W9+W10</f>
        <v/>
      </c>
      <c r="X11" s="20">
        <f>X9+X10</f>
        <v/>
      </c>
      <c r="Y11" s="20">
        <f>Y9+Y10</f>
        <v/>
      </c>
      <c r="Z11" s="20">
        <f>Z9+Z10</f>
        <v/>
      </c>
      <c r="AA11" s="20">
        <f>AA9+AA10</f>
        <v/>
      </c>
      <c r="AB11" s="20">
        <f>AB9+AB10</f>
        <v/>
      </c>
      <c r="AC11" s="20">
        <f>AC9+AC10</f>
        <v/>
      </c>
      <c r="AD11" s="20">
        <f>AD9+AD10</f>
        <v/>
      </c>
      <c r="AE11" s="20">
        <f>AE9+AE10</f>
        <v/>
      </c>
      <c r="AF11" s="20">
        <f>AF9+AF10</f>
        <v/>
      </c>
      <c r="AG11" s="20">
        <f>AG9+AG10</f>
        <v/>
      </c>
      <c r="AH11" s="20">
        <f>AH9+AH10</f>
        <v/>
      </c>
      <c r="AI11" s="20">
        <f>AI9+AI10</f>
        <v/>
      </c>
      <c r="AJ11" s="20">
        <f>AJ9+AJ10</f>
        <v/>
      </c>
      <c r="AK11" s="20">
        <f>AK9+AK10</f>
        <v/>
      </c>
      <c r="AL11" s="20">
        <f>AL9+AL10</f>
        <v/>
      </c>
      <c r="AM11" s="20">
        <f>AM9+AM10</f>
        <v/>
      </c>
      <c r="AN11" s="20">
        <f>AN9+AN10</f>
        <v/>
      </c>
      <c r="AO11" s="20">
        <f>AO9+AO10</f>
        <v/>
      </c>
      <c r="AP11" s="20">
        <f>AP9+AP10</f>
        <v/>
      </c>
      <c r="AQ11" s="20">
        <f>AQ9+AQ10</f>
        <v/>
      </c>
      <c r="AR11" s="20">
        <f>AR9+AR10</f>
        <v/>
      </c>
      <c r="AS11" s="20">
        <f>AS9+AS10</f>
        <v/>
      </c>
      <c r="AT11" s="20">
        <f>AT9+AT10</f>
        <v/>
      </c>
      <c r="AU11" s="20">
        <f>AU9+AU10</f>
        <v/>
      </c>
      <c r="AV11" s="20">
        <f>AV9+AV10</f>
        <v/>
      </c>
      <c r="AW11" s="20">
        <f>AW9+AW10</f>
        <v/>
      </c>
      <c r="AX11" s="20">
        <f>AX9+AX10</f>
        <v/>
      </c>
    </row>
    <row r="12">
      <c r="A12" s="14" t="inlineStr">
        <is>
          <t>Infrastructure</t>
        </is>
      </c>
      <c r="B12" s="14" t="inlineStr">
        <is>
          <t>INR</t>
        </is>
      </c>
      <c r="C12" s="9">
        <f>60000+C7*28</f>
        <v/>
      </c>
      <c r="D12" s="9">
        <f>60000+D7*28</f>
        <v/>
      </c>
      <c r="E12" s="9">
        <f>60000+E7*28</f>
        <v/>
      </c>
      <c r="F12" s="9">
        <f>60000+F7*28</f>
        <v/>
      </c>
      <c r="G12" s="9">
        <f>60000+G7*28</f>
        <v/>
      </c>
      <c r="H12" s="9">
        <f>60000+H7*28</f>
        <v/>
      </c>
      <c r="I12" s="9">
        <f>60000+I7*28</f>
        <v/>
      </c>
      <c r="J12" s="9">
        <f>60000+J7*28</f>
        <v/>
      </c>
      <c r="K12" s="9">
        <f>60000+K7*28</f>
        <v/>
      </c>
      <c r="L12" s="9">
        <f>60000+L7*28</f>
        <v/>
      </c>
      <c r="M12" s="9">
        <f>60000+M7*28</f>
        <v/>
      </c>
      <c r="N12" s="9">
        <f>60000+N7*28</f>
        <v/>
      </c>
      <c r="O12" s="9">
        <f>60000+O7*28</f>
        <v/>
      </c>
      <c r="P12" s="9">
        <f>60000+P7*28</f>
        <v/>
      </c>
      <c r="Q12" s="9">
        <f>60000+Q7*28</f>
        <v/>
      </c>
      <c r="R12" s="9">
        <f>60000+R7*28</f>
        <v/>
      </c>
      <c r="S12" s="9">
        <f>60000+S7*28</f>
        <v/>
      </c>
      <c r="T12" s="9">
        <f>60000+T7*28</f>
        <v/>
      </c>
      <c r="U12" s="9">
        <f>60000+U7*28</f>
        <v/>
      </c>
      <c r="V12" s="9">
        <f>60000+V7*28</f>
        <v/>
      </c>
      <c r="W12" s="9">
        <f>60000+W7*28</f>
        <v/>
      </c>
      <c r="X12" s="9">
        <f>60000+X7*28</f>
        <v/>
      </c>
      <c r="Y12" s="9">
        <f>60000+Y7*28</f>
        <v/>
      </c>
      <c r="Z12" s="9">
        <f>60000+Z7*28</f>
        <v/>
      </c>
      <c r="AA12" s="9">
        <f>60000+AA7*28</f>
        <v/>
      </c>
      <c r="AB12" s="9">
        <f>60000+AB7*28</f>
        <v/>
      </c>
      <c r="AC12" s="9">
        <f>60000+AC7*28</f>
        <v/>
      </c>
      <c r="AD12" s="9">
        <f>60000+AD7*28</f>
        <v/>
      </c>
      <c r="AE12" s="9">
        <f>60000+AE7*28</f>
        <v/>
      </c>
      <c r="AF12" s="9">
        <f>60000+AF7*28</f>
        <v/>
      </c>
      <c r="AG12" s="9">
        <f>60000+AG7*28</f>
        <v/>
      </c>
      <c r="AH12" s="9">
        <f>60000+AH7*28</f>
        <v/>
      </c>
      <c r="AI12" s="9">
        <f>60000+AI7*28</f>
        <v/>
      </c>
      <c r="AJ12" s="9">
        <f>60000+AJ7*28</f>
        <v/>
      </c>
      <c r="AK12" s="9">
        <f>60000+AK7*28</f>
        <v/>
      </c>
      <c r="AL12" s="9">
        <f>60000+AL7*28</f>
        <v/>
      </c>
      <c r="AM12" s="9">
        <f>60000+AM7*28</f>
        <v/>
      </c>
      <c r="AN12" s="9">
        <f>60000+AN7*28</f>
        <v/>
      </c>
      <c r="AO12" s="9">
        <f>60000+AO7*28</f>
        <v/>
      </c>
      <c r="AP12" s="9">
        <f>60000+AP7*28</f>
        <v/>
      </c>
      <c r="AQ12" s="9">
        <f>60000+AQ7*28</f>
        <v/>
      </c>
      <c r="AR12" s="9">
        <f>60000+AR7*28</f>
        <v/>
      </c>
      <c r="AS12" s="9">
        <f>60000+AS7*28</f>
        <v/>
      </c>
      <c r="AT12" s="9">
        <f>60000+AT7*28</f>
        <v/>
      </c>
      <c r="AU12" s="9">
        <f>60000+AU7*28</f>
        <v/>
      </c>
      <c r="AV12" s="9">
        <f>60000+AV7*28</f>
        <v/>
      </c>
      <c r="AW12" s="9">
        <f>60000+AW7*28</f>
        <v/>
      </c>
      <c r="AX12" s="9">
        <f>60000+AX7*28</f>
        <v/>
      </c>
    </row>
    <row r="13">
      <c r="A13" s="14" t="inlineStr">
        <is>
          <t>Payment fees</t>
        </is>
      </c>
      <c r="B13" s="14" t="inlineStr">
        <is>
          <t>INR</t>
        </is>
      </c>
      <c r="C13" s="9">
        <f>C11*(Assumptions!$B$12*Assumptions!$B$14+Assumptions!$B$13*(1-Assumptions!$B$14)+Assumptions!$B$16)</f>
        <v/>
      </c>
      <c r="D13" s="9">
        <f>D11*(Assumptions!$B$12*Assumptions!$B$14+Assumptions!$B$13*(1-Assumptions!$B$14)+Assumptions!$B$16)</f>
        <v/>
      </c>
      <c r="E13" s="9">
        <f>E11*(Assumptions!$B$12*Assumptions!$B$14+Assumptions!$B$13*(1-Assumptions!$B$14)+Assumptions!$B$16)</f>
        <v/>
      </c>
      <c r="F13" s="9">
        <f>F11*(Assumptions!$B$12*Assumptions!$B$14+Assumptions!$B$13*(1-Assumptions!$B$14)+Assumptions!$B$16)</f>
        <v/>
      </c>
      <c r="G13" s="9">
        <f>G11*(Assumptions!$B$12*Assumptions!$B$14+Assumptions!$B$13*(1-Assumptions!$B$14)+Assumptions!$B$16)</f>
        <v/>
      </c>
      <c r="H13" s="9">
        <f>H11*(Assumptions!$B$12*Assumptions!$B$14+Assumptions!$B$13*(1-Assumptions!$B$14)+Assumptions!$B$16)</f>
        <v/>
      </c>
      <c r="I13" s="9">
        <f>I11*(Assumptions!$B$12*Assumptions!$B$14+Assumptions!$B$13*(1-Assumptions!$B$14)+Assumptions!$B$16)</f>
        <v/>
      </c>
      <c r="J13" s="9">
        <f>J11*(Assumptions!$B$12*Assumptions!$B$14+Assumptions!$B$13*(1-Assumptions!$B$14)+Assumptions!$B$16)</f>
        <v/>
      </c>
      <c r="K13" s="9">
        <f>K11*(Assumptions!$B$12*Assumptions!$B$14+Assumptions!$B$13*(1-Assumptions!$B$14)+Assumptions!$B$16)</f>
        <v/>
      </c>
      <c r="L13" s="9">
        <f>L11*(Assumptions!$B$12*Assumptions!$B$14+Assumptions!$B$13*(1-Assumptions!$B$14)+Assumptions!$B$16)</f>
        <v/>
      </c>
      <c r="M13" s="9">
        <f>M11*(Assumptions!$B$12*Assumptions!$B$14+Assumptions!$B$13*(1-Assumptions!$B$14)+Assumptions!$B$16)</f>
        <v/>
      </c>
      <c r="N13" s="9">
        <f>N11*(Assumptions!$B$12*Assumptions!$B$14+Assumptions!$B$13*(1-Assumptions!$B$14)+Assumptions!$B$16)</f>
        <v/>
      </c>
      <c r="O13" s="9">
        <f>O11*(Assumptions!$B$12*Assumptions!$B$14+Assumptions!$B$13*(1-Assumptions!$B$14)+Assumptions!$B$16)</f>
        <v/>
      </c>
      <c r="P13" s="9">
        <f>P11*(Assumptions!$B$12*Assumptions!$B$14+Assumptions!$B$13*(1-Assumptions!$B$14)+Assumptions!$B$16)</f>
        <v/>
      </c>
      <c r="Q13" s="9">
        <f>Q11*(Assumptions!$B$12*Assumptions!$B$14+Assumptions!$B$13*(1-Assumptions!$B$14)+Assumptions!$B$16)</f>
        <v/>
      </c>
      <c r="R13" s="9">
        <f>R11*(Assumptions!$B$12*Assumptions!$B$14+Assumptions!$B$13*(1-Assumptions!$B$14)+Assumptions!$B$16)</f>
        <v/>
      </c>
      <c r="S13" s="9">
        <f>S11*(Assumptions!$B$12*Assumptions!$B$14+Assumptions!$B$13*(1-Assumptions!$B$14)+Assumptions!$B$16)</f>
        <v/>
      </c>
      <c r="T13" s="9">
        <f>T11*(Assumptions!$B$12*Assumptions!$B$14+Assumptions!$B$13*(1-Assumptions!$B$14)+Assumptions!$B$16)</f>
        <v/>
      </c>
      <c r="U13" s="9">
        <f>U11*(Assumptions!$B$12*Assumptions!$B$14+Assumptions!$B$13*(1-Assumptions!$B$14)+Assumptions!$B$16)</f>
        <v/>
      </c>
      <c r="V13" s="9">
        <f>V11*(Assumptions!$B$12*Assumptions!$B$14+Assumptions!$B$13*(1-Assumptions!$B$14)+Assumptions!$B$16)</f>
        <v/>
      </c>
      <c r="W13" s="9">
        <f>W11*(Assumptions!$B$12*Assumptions!$B$14+Assumptions!$B$13*(1-Assumptions!$B$14)+Assumptions!$B$16)</f>
        <v/>
      </c>
      <c r="X13" s="9">
        <f>X11*(Assumptions!$B$12*Assumptions!$B$14+Assumptions!$B$13*(1-Assumptions!$B$14)+Assumptions!$B$16)</f>
        <v/>
      </c>
      <c r="Y13" s="9">
        <f>Y11*(Assumptions!$B$12*Assumptions!$B$14+Assumptions!$B$13*(1-Assumptions!$B$14)+Assumptions!$B$16)</f>
        <v/>
      </c>
      <c r="Z13" s="9">
        <f>Z11*(Assumptions!$B$12*Assumptions!$B$14+Assumptions!$B$13*(1-Assumptions!$B$14)+Assumptions!$B$16)</f>
        <v/>
      </c>
      <c r="AA13" s="9">
        <f>AA11*(Assumptions!$B$12*Assumptions!$B$14+Assumptions!$B$13*(1-Assumptions!$B$14)+Assumptions!$B$16)</f>
        <v/>
      </c>
      <c r="AB13" s="9">
        <f>AB11*(Assumptions!$B$12*Assumptions!$B$14+Assumptions!$B$13*(1-Assumptions!$B$14)+Assumptions!$B$16)</f>
        <v/>
      </c>
      <c r="AC13" s="9">
        <f>AC11*(Assumptions!$B$12*Assumptions!$B$14+Assumptions!$B$13*(1-Assumptions!$B$14)+Assumptions!$B$16)</f>
        <v/>
      </c>
      <c r="AD13" s="9">
        <f>AD11*(Assumptions!$B$12*Assumptions!$B$14+Assumptions!$B$13*(1-Assumptions!$B$14)+Assumptions!$B$16)</f>
        <v/>
      </c>
      <c r="AE13" s="9">
        <f>AE11*(Assumptions!$B$12*Assumptions!$B$14+Assumptions!$B$13*(1-Assumptions!$B$14)+Assumptions!$B$16)</f>
        <v/>
      </c>
      <c r="AF13" s="9">
        <f>AF11*(Assumptions!$B$12*Assumptions!$B$14+Assumptions!$B$13*(1-Assumptions!$B$14)+Assumptions!$B$16)</f>
        <v/>
      </c>
      <c r="AG13" s="9">
        <f>AG11*(Assumptions!$B$12*Assumptions!$B$14+Assumptions!$B$13*(1-Assumptions!$B$14)+Assumptions!$B$16)</f>
        <v/>
      </c>
      <c r="AH13" s="9">
        <f>AH11*(Assumptions!$B$12*Assumptions!$B$14+Assumptions!$B$13*(1-Assumptions!$B$14)+Assumptions!$B$16)</f>
        <v/>
      </c>
      <c r="AI13" s="9">
        <f>AI11*(Assumptions!$B$12*Assumptions!$B$14+Assumptions!$B$13*(1-Assumptions!$B$14)+Assumptions!$B$16)</f>
        <v/>
      </c>
      <c r="AJ13" s="9">
        <f>AJ11*(Assumptions!$B$12*Assumptions!$B$14+Assumptions!$B$13*(1-Assumptions!$B$14)+Assumptions!$B$16)</f>
        <v/>
      </c>
      <c r="AK13" s="9">
        <f>AK11*(Assumptions!$B$12*Assumptions!$B$14+Assumptions!$B$13*(1-Assumptions!$B$14)+Assumptions!$B$16)</f>
        <v/>
      </c>
      <c r="AL13" s="9">
        <f>AL11*(Assumptions!$B$12*Assumptions!$B$14+Assumptions!$B$13*(1-Assumptions!$B$14)+Assumptions!$B$16)</f>
        <v/>
      </c>
      <c r="AM13" s="9">
        <f>AM11*(Assumptions!$B$12*Assumptions!$B$14+Assumptions!$B$13*(1-Assumptions!$B$14)+Assumptions!$B$16)</f>
        <v/>
      </c>
      <c r="AN13" s="9">
        <f>AN11*(Assumptions!$B$12*Assumptions!$B$14+Assumptions!$B$13*(1-Assumptions!$B$14)+Assumptions!$B$16)</f>
        <v/>
      </c>
      <c r="AO13" s="9">
        <f>AO11*(Assumptions!$B$12*Assumptions!$B$14+Assumptions!$B$13*(1-Assumptions!$B$14)+Assumptions!$B$16)</f>
        <v/>
      </c>
      <c r="AP13" s="9">
        <f>AP11*(Assumptions!$B$12*Assumptions!$B$14+Assumptions!$B$13*(1-Assumptions!$B$14)+Assumptions!$B$16)</f>
        <v/>
      </c>
      <c r="AQ13" s="9">
        <f>AQ11*(Assumptions!$B$12*Assumptions!$B$14+Assumptions!$B$13*(1-Assumptions!$B$14)+Assumptions!$B$16)</f>
        <v/>
      </c>
      <c r="AR13" s="9">
        <f>AR11*(Assumptions!$B$12*Assumptions!$B$14+Assumptions!$B$13*(1-Assumptions!$B$14)+Assumptions!$B$16)</f>
        <v/>
      </c>
      <c r="AS13" s="9">
        <f>AS11*(Assumptions!$B$12*Assumptions!$B$14+Assumptions!$B$13*(1-Assumptions!$B$14)+Assumptions!$B$16)</f>
        <v/>
      </c>
      <c r="AT13" s="9">
        <f>AT11*(Assumptions!$B$12*Assumptions!$B$14+Assumptions!$B$13*(1-Assumptions!$B$14)+Assumptions!$B$16)</f>
        <v/>
      </c>
      <c r="AU13" s="9">
        <f>AU11*(Assumptions!$B$12*Assumptions!$B$14+Assumptions!$B$13*(1-Assumptions!$B$14)+Assumptions!$B$16)</f>
        <v/>
      </c>
      <c r="AV13" s="9">
        <f>AV11*(Assumptions!$B$12*Assumptions!$B$14+Assumptions!$B$13*(1-Assumptions!$B$14)+Assumptions!$B$16)</f>
        <v/>
      </c>
      <c r="AW13" s="9">
        <f>AW11*(Assumptions!$B$12*Assumptions!$B$14+Assumptions!$B$13*(1-Assumptions!$B$14)+Assumptions!$B$16)</f>
        <v/>
      </c>
      <c r="AX13" s="9">
        <f>AX11*(Assumptions!$B$12*Assumptions!$B$14+Assumptions!$B$13*(1-Assumptions!$B$14)+Assumptions!$B$16)</f>
        <v/>
      </c>
    </row>
    <row r="14">
      <c r="A14" s="14" t="inlineStr">
        <is>
          <t>Support tooling</t>
        </is>
      </c>
      <c r="B14" s="14" t="inlineStr">
        <is>
          <t>INR</t>
        </is>
      </c>
      <c r="C14" s="9">
        <f>C7*Assumptions!$B$18</f>
        <v/>
      </c>
      <c r="D14" s="9">
        <f>D7*Assumptions!$B$18</f>
        <v/>
      </c>
      <c r="E14" s="9">
        <f>E7*Assumptions!$B$18</f>
        <v/>
      </c>
      <c r="F14" s="9">
        <f>F7*Assumptions!$B$18</f>
        <v/>
      </c>
      <c r="G14" s="9">
        <f>G7*Assumptions!$B$18</f>
        <v/>
      </c>
      <c r="H14" s="9">
        <f>H7*Assumptions!$B$18</f>
        <v/>
      </c>
      <c r="I14" s="9">
        <f>I7*Assumptions!$B$18</f>
        <v/>
      </c>
      <c r="J14" s="9">
        <f>J7*Assumptions!$B$18</f>
        <v/>
      </c>
      <c r="K14" s="9">
        <f>K7*Assumptions!$B$18</f>
        <v/>
      </c>
      <c r="L14" s="9">
        <f>L7*Assumptions!$B$18</f>
        <v/>
      </c>
      <c r="M14" s="9">
        <f>M7*Assumptions!$B$18</f>
        <v/>
      </c>
      <c r="N14" s="9">
        <f>N7*Assumptions!$B$18</f>
        <v/>
      </c>
      <c r="O14" s="9">
        <f>O7*Assumptions!$B$18</f>
        <v/>
      </c>
      <c r="P14" s="9">
        <f>P7*Assumptions!$B$18</f>
        <v/>
      </c>
      <c r="Q14" s="9">
        <f>Q7*Assumptions!$B$18</f>
        <v/>
      </c>
      <c r="R14" s="9">
        <f>R7*Assumptions!$B$18</f>
        <v/>
      </c>
      <c r="S14" s="9">
        <f>S7*Assumptions!$B$18</f>
        <v/>
      </c>
      <c r="T14" s="9">
        <f>T7*Assumptions!$B$18</f>
        <v/>
      </c>
      <c r="U14" s="9">
        <f>U7*Assumptions!$B$18</f>
        <v/>
      </c>
      <c r="V14" s="9">
        <f>V7*Assumptions!$B$18</f>
        <v/>
      </c>
      <c r="W14" s="9">
        <f>W7*Assumptions!$B$18</f>
        <v/>
      </c>
      <c r="X14" s="9">
        <f>X7*Assumptions!$B$18</f>
        <v/>
      </c>
      <c r="Y14" s="9">
        <f>Y7*Assumptions!$B$18</f>
        <v/>
      </c>
      <c r="Z14" s="9">
        <f>Z7*Assumptions!$B$18</f>
        <v/>
      </c>
      <c r="AA14" s="9">
        <f>AA7*Assumptions!$B$18</f>
        <v/>
      </c>
      <c r="AB14" s="9">
        <f>AB7*Assumptions!$B$18</f>
        <v/>
      </c>
      <c r="AC14" s="9">
        <f>AC7*Assumptions!$B$18</f>
        <v/>
      </c>
      <c r="AD14" s="9">
        <f>AD7*Assumptions!$B$18</f>
        <v/>
      </c>
      <c r="AE14" s="9">
        <f>AE7*Assumptions!$B$18</f>
        <v/>
      </c>
      <c r="AF14" s="9">
        <f>AF7*Assumptions!$B$18</f>
        <v/>
      </c>
      <c r="AG14" s="9">
        <f>AG7*Assumptions!$B$18</f>
        <v/>
      </c>
      <c r="AH14" s="9">
        <f>AH7*Assumptions!$B$18</f>
        <v/>
      </c>
      <c r="AI14" s="9">
        <f>AI7*Assumptions!$B$18</f>
        <v/>
      </c>
      <c r="AJ14" s="9">
        <f>AJ7*Assumptions!$B$18</f>
        <v/>
      </c>
      <c r="AK14" s="9">
        <f>AK7*Assumptions!$B$18</f>
        <v/>
      </c>
      <c r="AL14" s="9">
        <f>AL7*Assumptions!$B$18</f>
        <v/>
      </c>
      <c r="AM14" s="9">
        <f>AM7*Assumptions!$B$18</f>
        <v/>
      </c>
      <c r="AN14" s="9">
        <f>AN7*Assumptions!$B$18</f>
        <v/>
      </c>
      <c r="AO14" s="9">
        <f>AO7*Assumptions!$B$18</f>
        <v/>
      </c>
      <c r="AP14" s="9">
        <f>AP7*Assumptions!$B$18</f>
        <v/>
      </c>
      <c r="AQ14" s="9">
        <f>AQ7*Assumptions!$B$18</f>
        <v/>
      </c>
      <c r="AR14" s="9">
        <f>AR7*Assumptions!$B$18</f>
        <v/>
      </c>
      <c r="AS14" s="9">
        <f>AS7*Assumptions!$B$18</f>
        <v/>
      </c>
      <c r="AT14" s="9">
        <f>AT7*Assumptions!$B$18</f>
        <v/>
      </c>
      <c r="AU14" s="9">
        <f>AU7*Assumptions!$B$18</f>
        <v/>
      </c>
      <c r="AV14" s="9">
        <f>AV7*Assumptions!$B$18</f>
        <v/>
      </c>
      <c r="AW14" s="9">
        <f>AW7*Assumptions!$B$18</f>
        <v/>
      </c>
      <c r="AX14" s="9">
        <f>AX7*Assumptions!$B$18</f>
        <v/>
      </c>
    </row>
    <row r="15">
      <c r="A15" s="17" t="inlineStr">
        <is>
          <t>GROSS PROFIT</t>
        </is>
      </c>
      <c r="B15" s="19" t="inlineStr">
        <is>
          <t>INR</t>
        </is>
      </c>
      <c r="C15" s="20">
        <f>C11-C12-C13-C14</f>
        <v/>
      </c>
      <c r="D15" s="20">
        <f>D11-D12-D13-D14</f>
        <v/>
      </c>
      <c r="E15" s="20">
        <f>E11-E12-E13-E14</f>
        <v/>
      </c>
      <c r="F15" s="20">
        <f>F11-F12-F13-F14</f>
        <v/>
      </c>
      <c r="G15" s="20">
        <f>G11-G12-G13-G14</f>
        <v/>
      </c>
      <c r="H15" s="20">
        <f>H11-H12-H13-H14</f>
        <v/>
      </c>
      <c r="I15" s="20">
        <f>I11-I12-I13-I14</f>
        <v/>
      </c>
      <c r="J15" s="20">
        <f>J11-J12-J13-J14</f>
        <v/>
      </c>
      <c r="K15" s="20">
        <f>K11-K12-K13-K14</f>
        <v/>
      </c>
      <c r="L15" s="20">
        <f>L11-L12-L13-L14</f>
        <v/>
      </c>
      <c r="M15" s="20">
        <f>M11-M12-M13-M14</f>
        <v/>
      </c>
      <c r="N15" s="20">
        <f>N11-N12-N13-N14</f>
        <v/>
      </c>
      <c r="O15" s="20">
        <f>O11-O12-O13-O14</f>
        <v/>
      </c>
      <c r="P15" s="20">
        <f>P11-P12-P13-P14</f>
        <v/>
      </c>
      <c r="Q15" s="20">
        <f>Q11-Q12-Q13-Q14</f>
        <v/>
      </c>
      <c r="R15" s="20">
        <f>R11-R12-R13-R14</f>
        <v/>
      </c>
      <c r="S15" s="20">
        <f>S11-S12-S13-S14</f>
        <v/>
      </c>
      <c r="T15" s="20">
        <f>T11-T12-T13-T14</f>
        <v/>
      </c>
      <c r="U15" s="20">
        <f>U11-U12-U13-U14</f>
        <v/>
      </c>
      <c r="V15" s="20">
        <f>V11-V12-V13-V14</f>
        <v/>
      </c>
      <c r="W15" s="20">
        <f>W11-W12-W13-W14</f>
        <v/>
      </c>
      <c r="X15" s="20">
        <f>X11-X12-X13-X14</f>
        <v/>
      </c>
      <c r="Y15" s="20">
        <f>Y11-Y12-Y13-Y14</f>
        <v/>
      </c>
      <c r="Z15" s="20">
        <f>Z11-Z12-Z13-Z14</f>
        <v/>
      </c>
      <c r="AA15" s="20">
        <f>AA11-AA12-AA13-AA14</f>
        <v/>
      </c>
      <c r="AB15" s="20">
        <f>AB11-AB12-AB13-AB14</f>
        <v/>
      </c>
      <c r="AC15" s="20">
        <f>AC11-AC12-AC13-AC14</f>
        <v/>
      </c>
      <c r="AD15" s="20">
        <f>AD11-AD12-AD13-AD14</f>
        <v/>
      </c>
      <c r="AE15" s="20">
        <f>AE11-AE12-AE13-AE14</f>
        <v/>
      </c>
      <c r="AF15" s="20">
        <f>AF11-AF12-AF13-AF14</f>
        <v/>
      </c>
      <c r="AG15" s="20">
        <f>AG11-AG12-AG13-AG14</f>
        <v/>
      </c>
      <c r="AH15" s="20">
        <f>AH11-AH12-AH13-AH14</f>
        <v/>
      </c>
      <c r="AI15" s="20">
        <f>AI11-AI12-AI13-AI14</f>
        <v/>
      </c>
      <c r="AJ15" s="20">
        <f>AJ11-AJ12-AJ13-AJ14</f>
        <v/>
      </c>
      <c r="AK15" s="20">
        <f>AK11-AK12-AK13-AK14</f>
        <v/>
      </c>
      <c r="AL15" s="20">
        <f>AL11-AL12-AL13-AL14</f>
        <v/>
      </c>
      <c r="AM15" s="20">
        <f>AM11-AM12-AM13-AM14</f>
        <v/>
      </c>
      <c r="AN15" s="20">
        <f>AN11-AN12-AN13-AN14</f>
        <v/>
      </c>
      <c r="AO15" s="20">
        <f>AO11-AO12-AO13-AO14</f>
        <v/>
      </c>
      <c r="AP15" s="20">
        <f>AP11-AP12-AP13-AP14</f>
        <v/>
      </c>
      <c r="AQ15" s="20">
        <f>AQ11-AQ12-AQ13-AQ14</f>
        <v/>
      </c>
      <c r="AR15" s="20">
        <f>AR11-AR12-AR13-AR14</f>
        <v/>
      </c>
      <c r="AS15" s="20">
        <f>AS11-AS12-AS13-AS14</f>
        <v/>
      </c>
      <c r="AT15" s="20">
        <f>AT11-AT12-AT13-AT14</f>
        <v/>
      </c>
      <c r="AU15" s="20">
        <f>AU11-AU12-AU13-AU14</f>
        <v/>
      </c>
      <c r="AV15" s="20">
        <f>AV11-AV12-AV13-AV14</f>
        <v/>
      </c>
      <c r="AW15" s="20">
        <f>AW11-AW12-AW13-AW14</f>
        <v/>
      </c>
      <c r="AX15" s="20">
        <f>AX11-AX12-AX13-AX14</f>
        <v/>
      </c>
    </row>
    <row r="16">
      <c r="A16" s="14" t="inlineStr">
        <is>
          <t>Team cost</t>
        </is>
      </c>
      <c r="B16" s="14" t="inlineStr">
        <is>
          <t>INR</t>
        </is>
      </c>
      <c r="C16" s="9">
        <f>Team_Costs!$G$22</f>
        <v/>
      </c>
      <c r="D16" s="9">
        <f>Team_Costs!$G$22</f>
        <v/>
      </c>
      <c r="E16" s="9">
        <f>Team_Costs!$G$22</f>
        <v/>
      </c>
      <c r="F16" s="9">
        <f>Team_Costs!$G$22</f>
        <v/>
      </c>
      <c r="G16" s="9">
        <f>Team_Costs!$G$22</f>
        <v/>
      </c>
      <c r="H16" s="9">
        <f>Team_Costs!$G$22</f>
        <v/>
      </c>
      <c r="I16" s="9">
        <f>Team_Costs!$H$22</f>
        <v/>
      </c>
      <c r="J16" s="9">
        <f>Team_Costs!$H$22</f>
        <v/>
      </c>
      <c r="K16" s="9">
        <f>Team_Costs!$H$22</f>
        <v/>
      </c>
      <c r="L16" s="9">
        <f>Team_Costs!$H$22</f>
        <v/>
      </c>
      <c r="M16" s="9">
        <f>Team_Costs!$H$22</f>
        <v/>
      </c>
      <c r="N16" s="9">
        <f>Team_Costs!$H$22</f>
        <v/>
      </c>
      <c r="O16" s="9">
        <f>Team_Costs!$I$22</f>
        <v/>
      </c>
      <c r="P16" s="9">
        <f>Team_Costs!$I$22</f>
        <v/>
      </c>
      <c r="Q16" s="9">
        <f>Team_Costs!$I$22</f>
        <v/>
      </c>
      <c r="R16" s="9">
        <f>Team_Costs!$I$22</f>
        <v/>
      </c>
      <c r="S16" s="9">
        <f>Team_Costs!$I$22</f>
        <v/>
      </c>
      <c r="T16" s="9">
        <f>Team_Costs!$I$22</f>
        <v/>
      </c>
      <c r="U16" s="9">
        <f>Team_Costs!$I$22</f>
        <v/>
      </c>
      <c r="V16" s="9">
        <f>Team_Costs!$I$22</f>
        <v/>
      </c>
      <c r="W16" s="9">
        <f>Team_Costs!$I$22</f>
        <v/>
      </c>
      <c r="X16" s="9">
        <f>Team_Costs!$I$22</f>
        <v/>
      </c>
      <c r="Y16" s="9">
        <f>Team_Costs!$I$22</f>
        <v/>
      </c>
      <c r="Z16" s="9">
        <f>Team_Costs!$I$22</f>
        <v/>
      </c>
      <c r="AA16" s="9">
        <f>Team_Costs!B26</f>
        <v/>
      </c>
      <c r="AB16" s="9">
        <f>Team_Costs!B26</f>
        <v/>
      </c>
      <c r="AC16" s="9">
        <f>Team_Costs!B26</f>
        <v/>
      </c>
      <c r="AD16" s="9">
        <f>Team_Costs!B26</f>
        <v/>
      </c>
      <c r="AE16" s="9">
        <f>Team_Costs!B26</f>
        <v/>
      </c>
      <c r="AF16" s="9">
        <f>Team_Costs!B26</f>
        <v/>
      </c>
      <c r="AG16" s="9">
        <f>Team_Costs!B26</f>
        <v/>
      </c>
      <c r="AH16" s="9">
        <f>Team_Costs!B26</f>
        <v/>
      </c>
      <c r="AI16" s="9">
        <f>Team_Costs!B26</f>
        <v/>
      </c>
      <c r="AJ16" s="9">
        <f>Team_Costs!B26</f>
        <v/>
      </c>
      <c r="AK16" s="9">
        <f>Team_Costs!B26</f>
        <v/>
      </c>
      <c r="AL16" s="9">
        <f>Team_Costs!B26</f>
        <v/>
      </c>
      <c r="AM16" s="9">
        <f>Team_Costs!B26</f>
        <v/>
      </c>
      <c r="AN16" s="9">
        <f>Team_Costs!B26</f>
        <v/>
      </c>
      <c r="AO16" s="9">
        <f>Team_Costs!B26</f>
        <v/>
      </c>
      <c r="AP16" s="9">
        <f>Team_Costs!B26</f>
        <v/>
      </c>
      <c r="AQ16" s="9">
        <f>Team_Costs!B26</f>
        <v/>
      </c>
      <c r="AR16" s="9">
        <f>Team_Costs!B26</f>
        <v/>
      </c>
      <c r="AS16" s="9">
        <f>Team_Costs!B26</f>
        <v/>
      </c>
      <c r="AT16" s="9">
        <f>Team_Costs!B26</f>
        <v/>
      </c>
      <c r="AU16" s="9">
        <f>Team_Costs!B26</f>
        <v/>
      </c>
      <c r="AV16" s="9">
        <f>Team_Costs!B26</f>
        <v/>
      </c>
      <c r="AW16" s="9">
        <f>Team_Costs!B26</f>
        <v/>
      </c>
      <c r="AX16" s="9">
        <f>Team_Costs!B26</f>
        <v/>
      </c>
    </row>
    <row r="17">
      <c r="A17" s="14" t="inlineStr">
        <is>
          <t>Tools &amp; subscriptions</t>
        </is>
      </c>
      <c r="B17" s="14" t="inlineStr">
        <is>
          <t>INR</t>
        </is>
      </c>
      <c r="C17" s="9">
        <f>Tools_Subscriptions!$E$25/12</f>
        <v/>
      </c>
      <c r="D17" s="9">
        <f>Tools_Subscriptions!$E$25/12</f>
        <v/>
      </c>
      <c r="E17" s="9">
        <f>Tools_Subscriptions!$E$25/12</f>
        <v/>
      </c>
      <c r="F17" s="9">
        <f>Tools_Subscriptions!$E$25/12</f>
        <v/>
      </c>
      <c r="G17" s="9">
        <f>Tools_Subscriptions!$E$25/12</f>
        <v/>
      </c>
      <c r="H17" s="9">
        <f>Tools_Subscriptions!$E$25/12</f>
        <v/>
      </c>
      <c r="I17" s="9">
        <f>Tools_Subscriptions!$E$25/12</f>
        <v/>
      </c>
      <c r="J17" s="9">
        <f>Tools_Subscriptions!$E$25/12</f>
        <v/>
      </c>
      <c r="K17" s="9">
        <f>Tools_Subscriptions!$E$25/12</f>
        <v/>
      </c>
      <c r="L17" s="9">
        <f>Tools_Subscriptions!$E$25/12</f>
        <v/>
      </c>
      <c r="M17" s="9">
        <f>Tools_Subscriptions!$E$25/12</f>
        <v/>
      </c>
      <c r="N17" s="9">
        <f>Tools_Subscriptions!$E$25/12</f>
        <v/>
      </c>
      <c r="O17" s="9">
        <f>Tools_Subscriptions!$E$25/12</f>
        <v/>
      </c>
      <c r="P17" s="9">
        <f>Tools_Subscriptions!$E$25/12</f>
        <v/>
      </c>
      <c r="Q17" s="9">
        <f>Tools_Subscriptions!$E$25/12</f>
        <v/>
      </c>
      <c r="R17" s="9">
        <f>Tools_Subscriptions!$E$25/12</f>
        <v/>
      </c>
      <c r="S17" s="9">
        <f>Tools_Subscriptions!$E$25/12</f>
        <v/>
      </c>
      <c r="T17" s="9">
        <f>Tools_Subscriptions!$E$25/12</f>
        <v/>
      </c>
      <c r="U17" s="9">
        <f>Tools_Subscriptions!$E$25/12</f>
        <v/>
      </c>
      <c r="V17" s="9">
        <f>Tools_Subscriptions!$E$25/12</f>
        <v/>
      </c>
      <c r="W17" s="9">
        <f>Tools_Subscriptions!$E$25/12</f>
        <v/>
      </c>
      <c r="X17" s="9">
        <f>Tools_Subscriptions!$E$25/12</f>
        <v/>
      </c>
      <c r="Y17" s="9">
        <f>Tools_Subscriptions!$E$25/12</f>
        <v/>
      </c>
      <c r="Z17" s="9">
        <f>Tools_Subscriptions!$E$25/12</f>
        <v/>
      </c>
      <c r="AA17" s="9">
        <f>Tools_Subscriptions!$E$25/12</f>
        <v/>
      </c>
      <c r="AB17" s="9">
        <f>Tools_Subscriptions!$E$25/12</f>
        <v/>
      </c>
      <c r="AC17" s="9">
        <f>Tools_Subscriptions!$E$25/12</f>
        <v/>
      </c>
      <c r="AD17" s="9">
        <f>Tools_Subscriptions!$E$25/12</f>
        <v/>
      </c>
      <c r="AE17" s="9">
        <f>Tools_Subscriptions!$E$25/12</f>
        <v/>
      </c>
      <c r="AF17" s="9">
        <f>Tools_Subscriptions!$E$25/12</f>
        <v/>
      </c>
      <c r="AG17" s="9">
        <f>Tools_Subscriptions!$E$25/12</f>
        <v/>
      </c>
      <c r="AH17" s="9">
        <f>Tools_Subscriptions!$E$25/12</f>
        <v/>
      </c>
      <c r="AI17" s="9">
        <f>Tools_Subscriptions!$E$25/12</f>
        <v/>
      </c>
      <c r="AJ17" s="9">
        <f>Tools_Subscriptions!$E$25/12</f>
        <v/>
      </c>
      <c r="AK17" s="9">
        <f>Tools_Subscriptions!$E$25/12</f>
        <v/>
      </c>
      <c r="AL17" s="9">
        <f>Tools_Subscriptions!$E$25/12</f>
        <v/>
      </c>
      <c r="AM17" s="9">
        <f>Tools_Subscriptions!$E$25/12</f>
        <v/>
      </c>
      <c r="AN17" s="9">
        <f>Tools_Subscriptions!$E$25/12</f>
        <v/>
      </c>
      <c r="AO17" s="9">
        <f>Tools_Subscriptions!$E$25/12</f>
        <v/>
      </c>
      <c r="AP17" s="9">
        <f>Tools_Subscriptions!$E$25/12</f>
        <v/>
      </c>
      <c r="AQ17" s="9">
        <f>Tools_Subscriptions!$E$25/12</f>
        <v/>
      </c>
      <c r="AR17" s="9">
        <f>Tools_Subscriptions!$E$25/12</f>
        <v/>
      </c>
      <c r="AS17" s="9">
        <f>Tools_Subscriptions!$E$25/12</f>
        <v/>
      </c>
      <c r="AT17" s="9">
        <f>Tools_Subscriptions!$E$25/12</f>
        <v/>
      </c>
      <c r="AU17" s="9">
        <f>Tools_Subscriptions!$E$25/12</f>
        <v/>
      </c>
      <c r="AV17" s="9">
        <f>Tools_Subscriptions!$E$25/12</f>
        <v/>
      </c>
      <c r="AW17" s="9">
        <f>Tools_Subscriptions!$E$25/12</f>
        <v/>
      </c>
      <c r="AX17" s="9">
        <f>Tools_Subscriptions!$E$25/12</f>
        <v/>
      </c>
    </row>
    <row r="18">
      <c r="A18" s="14" t="inlineStr">
        <is>
          <t>Marketing &amp; CAC</t>
        </is>
      </c>
      <c r="B18" s="14" t="inlineStr">
        <is>
          <t>INR</t>
        </is>
      </c>
      <c r="C18" s="9">
        <f>C5*Assumptions!$B$20+100000</f>
        <v/>
      </c>
      <c r="D18" s="9">
        <f>D5*Assumptions!$B$20+100000</f>
        <v/>
      </c>
      <c r="E18" s="9">
        <f>E5*Assumptions!$B$20+100000</f>
        <v/>
      </c>
      <c r="F18" s="9">
        <f>F5*Assumptions!$B$20+100000</f>
        <v/>
      </c>
      <c r="G18" s="9">
        <f>G5*Assumptions!$B$20+100000</f>
        <v/>
      </c>
      <c r="H18" s="9">
        <f>H5*Assumptions!$B$20+100000</f>
        <v/>
      </c>
      <c r="I18" s="9">
        <f>I5*Assumptions!$B$20+100000</f>
        <v/>
      </c>
      <c r="J18" s="9">
        <f>J5*Assumptions!$B$20+100000</f>
        <v/>
      </c>
      <c r="K18" s="9">
        <f>K5*Assumptions!$B$20+100000</f>
        <v/>
      </c>
      <c r="L18" s="9">
        <f>L5*Assumptions!$B$20+100000</f>
        <v/>
      </c>
      <c r="M18" s="9">
        <f>M5*Assumptions!$B$20+100000</f>
        <v/>
      </c>
      <c r="N18" s="9">
        <f>N5*Assumptions!$B$20+100000</f>
        <v/>
      </c>
      <c r="O18" s="9">
        <f>O5*Assumptions!$B$20+100000</f>
        <v/>
      </c>
      <c r="P18" s="9">
        <f>P5*Assumptions!$B$20+100000</f>
        <v/>
      </c>
      <c r="Q18" s="9">
        <f>Q5*Assumptions!$B$20+100000</f>
        <v/>
      </c>
      <c r="R18" s="9">
        <f>R5*Assumptions!$B$20+100000</f>
        <v/>
      </c>
      <c r="S18" s="9">
        <f>S5*Assumptions!$B$20+100000</f>
        <v/>
      </c>
      <c r="T18" s="9">
        <f>T5*Assumptions!$B$20+100000</f>
        <v/>
      </c>
      <c r="U18" s="9">
        <f>U5*Assumptions!$B$20+100000</f>
        <v/>
      </c>
      <c r="V18" s="9">
        <f>V5*Assumptions!$B$20+100000</f>
        <v/>
      </c>
      <c r="W18" s="9">
        <f>W5*Assumptions!$B$20+100000</f>
        <v/>
      </c>
      <c r="X18" s="9">
        <f>X5*Assumptions!$B$20+100000</f>
        <v/>
      </c>
      <c r="Y18" s="9">
        <f>Y5*Assumptions!$B$20+100000</f>
        <v/>
      </c>
      <c r="Z18" s="9">
        <f>Z5*Assumptions!$B$20+100000</f>
        <v/>
      </c>
      <c r="AA18" s="9">
        <f>AA5*Assumptions!$B$20+100000</f>
        <v/>
      </c>
      <c r="AB18" s="9">
        <f>AB5*Assumptions!$B$20+100000</f>
        <v/>
      </c>
      <c r="AC18" s="9">
        <f>AC5*Assumptions!$B$20+100000</f>
        <v/>
      </c>
      <c r="AD18" s="9">
        <f>AD5*Assumptions!$B$20+100000</f>
        <v/>
      </c>
      <c r="AE18" s="9">
        <f>AE5*Assumptions!$B$20+100000</f>
        <v/>
      </c>
      <c r="AF18" s="9">
        <f>AF5*Assumptions!$B$20+100000</f>
        <v/>
      </c>
      <c r="AG18" s="9">
        <f>AG5*Assumptions!$B$20+100000</f>
        <v/>
      </c>
      <c r="AH18" s="9">
        <f>AH5*Assumptions!$B$20+100000</f>
        <v/>
      </c>
      <c r="AI18" s="9">
        <f>AI5*Assumptions!$B$20+100000</f>
        <v/>
      </c>
      <c r="AJ18" s="9">
        <f>AJ5*Assumptions!$B$20+100000</f>
        <v/>
      </c>
      <c r="AK18" s="9">
        <f>AK5*Assumptions!$B$20+100000</f>
        <v/>
      </c>
      <c r="AL18" s="9">
        <f>AL5*Assumptions!$B$20+100000</f>
        <v/>
      </c>
      <c r="AM18" s="9">
        <f>AM5*Assumptions!$B$20+100000</f>
        <v/>
      </c>
      <c r="AN18" s="9">
        <f>AN5*Assumptions!$B$20+100000</f>
        <v/>
      </c>
      <c r="AO18" s="9">
        <f>AO5*Assumptions!$B$20+100000</f>
        <v/>
      </c>
      <c r="AP18" s="9">
        <f>AP5*Assumptions!$B$20+100000</f>
        <v/>
      </c>
      <c r="AQ18" s="9">
        <f>AQ5*Assumptions!$B$20+100000</f>
        <v/>
      </c>
      <c r="AR18" s="9">
        <f>AR5*Assumptions!$B$20+100000</f>
        <v/>
      </c>
      <c r="AS18" s="9">
        <f>AS5*Assumptions!$B$20+100000</f>
        <v/>
      </c>
      <c r="AT18" s="9">
        <f>AT5*Assumptions!$B$20+100000</f>
        <v/>
      </c>
      <c r="AU18" s="9">
        <f>AU5*Assumptions!$B$20+100000</f>
        <v/>
      </c>
      <c r="AV18" s="9">
        <f>AV5*Assumptions!$B$20+100000</f>
        <v/>
      </c>
      <c r="AW18" s="9">
        <f>AW5*Assumptions!$B$20+100000</f>
        <v/>
      </c>
      <c r="AX18" s="9">
        <f>AX5*Assumptions!$B$20+100000</f>
        <v/>
      </c>
    </row>
    <row r="19">
      <c r="A19" s="14" t="inlineStr">
        <is>
          <t>Compliance &amp; legal</t>
        </is>
      </c>
      <c r="B19" s="14" t="inlineStr">
        <is>
          <t>INR</t>
        </is>
      </c>
      <c r="C19" s="9">
        <f>Payments_Fees!$D$21/12</f>
        <v/>
      </c>
      <c r="D19" s="9">
        <f>Payments_Fees!$D$21/12</f>
        <v/>
      </c>
      <c r="E19" s="9">
        <f>Payments_Fees!$D$21/12</f>
        <v/>
      </c>
      <c r="F19" s="9">
        <f>Payments_Fees!$D$21/12</f>
        <v/>
      </c>
      <c r="G19" s="9">
        <f>Payments_Fees!$D$21/12</f>
        <v/>
      </c>
      <c r="H19" s="9">
        <f>Payments_Fees!$D$21/12</f>
        <v/>
      </c>
      <c r="I19" s="9">
        <f>Payments_Fees!$D$21/12</f>
        <v/>
      </c>
      <c r="J19" s="9">
        <f>Payments_Fees!$D$21/12</f>
        <v/>
      </c>
      <c r="K19" s="9">
        <f>Payments_Fees!$D$21/12</f>
        <v/>
      </c>
      <c r="L19" s="9">
        <f>Payments_Fees!$D$21/12</f>
        <v/>
      </c>
      <c r="M19" s="9">
        <f>Payments_Fees!$D$21/12</f>
        <v/>
      </c>
      <c r="N19" s="9">
        <f>Payments_Fees!$D$21/12</f>
        <v/>
      </c>
      <c r="O19" s="9">
        <f>Payments_Fees!$D$21/12</f>
        <v/>
      </c>
      <c r="P19" s="9">
        <f>Payments_Fees!$D$21/12</f>
        <v/>
      </c>
      <c r="Q19" s="9">
        <f>Payments_Fees!$D$21/12</f>
        <v/>
      </c>
      <c r="R19" s="9">
        <f>Payments_Fees!$D$21/12</f>
        <v/>
      </c>
      <c r="S19" s="9">
        <f>Payments_Fees!$D$21/12</f>
        <v/>
      </c>
      <c r="T19" s="9">
        <f>Payments_Fees!$D$21/12</f>
        <v/>
      </c>
      <c r="U19" s="9">
        <f>Payments_Fees!$D$21/12</f>
        <v/>
      </c>
      <c r="V19" s="9">
        <f>Payments_Fees!$D$21/12</f>
        <v/>
      </c>
      <c r="W19" s="9">
        <f>Payments_Fees!$D$21/12</f>
        <v/>
      </c>
      <c r="X19" s="9">
        <f>Payments_Fees!$D$21/12</f>
        <v/>
      </c>
      <c r="Y19" s="9">
        <f>Payments_Fees!$D$21/12</f>
        <v/>
      </c>
      <c r="Z19" s="9">
        <f>Payments_Fees!$D$21/12</f>
        <v/>
      </c>
      <c r="AA19" s="9">
        <f>Payments_Fees!$D$21/12</f>
        <v/>
      </c>
      <c r="AB19" s="9">
        <f>Payments_Fees!$D$21/12</f>
        <v/>
      </c>
      <c r="AC19" s="9">
        <f>Payments_Fees!$D$21/12</f>
        <v/>
      </c>
      <c r="AD19" s="9">
        <f>Payments_Fees!$D$21/12</f>
        <v/>
      </c>
      <c r="AE19" s="9">
        <f>Payments_Fees!$D$21/12</f>
        <v/>
      </c>
      <c r="AF19" s="9">
        <f>Payments_Fees!$D$21/12</f>
        <v/>
      </c>
      <c r="AG19" s="9">
        <f>Payments_Fees!$D$21/12</f>
        <v/>
      </c>
      <c r="AH19" s="9">
        <f>Payments_Fees!$D$21/12</f>
        <v/>
      </c>
      <c r="AI19" s="9">
        <f>Payments_Fees!$D$21/12</f>
        <v/>
      </c>
      <c r="AJ19" s="9">
        <f>Payments_Fees!$D$21/12</f>
        <v/>
      </c>
      <c r="AK19" s="9">
        <f>Payments_Fees!$D$21/12</f>
        <v/>
      </c>
      <c r="AL19" s="9">
        <f>Payments_Fees!$D$21/12</f>
        <v/>
      </c>
      <c r="AM19" s="9">
        <f>Payments_Fees!$D$21/12</f>
        <v/>
      </c>
      <c r="AN19" s="9">
        <f>Payments_Fees!$D$21/12</f>
        <v/>
      </c>
      <c r="AO19" s="9">
        <f>Payments_Fees!$D$21/12</f>
        <v/>
      </c>
      <c r="AP19" s="9">
        <f>Payments_Fees!$D$21/12</f>
        <v/>
      </c>
      <c r="AQ19" s="9">
        <f>Payments_Fees!$D$21/12</f>
        <v/>
      </c>
      <c r="AR19" s="9">
        <f>Payments_Fees!$D$21/12</f>
        <v/>
      </c>
      <c r="AS19" s="9">
        <f>Payments_Fees!$D$21/12</f>
        <v/>
      </c>
      <c r="AT19" s="9">
        <f>Payments_Fees!$D$21/12</f>
        <v/>
      </c>
      <c r="AU19" s="9">
        <f>Payments_Fees!$D$21/12</f>
        <v/>
      </c>
      <c r="AV19" s="9">
        <f>Payments_Fees!$D$21/12</f>
        <v/>
      </c>
      <c r="AW19" s="9">
        <f>Payments_Fees!$D$21/12</f>
        <v/>
      </c>
      <c r="AX19" s="9">
        <f>Payments_Fees!$D$21/12</f>
        <v/>
      </c>
    </row>
    <row r="20">
      <c r="A20" s="17" t="inlineStr">
        <is>
          <t>TOTAL OPEX</t>
        </is>
      </c>
      <c r="B20" s="19" t="inlineStr">
        <is>
          <t>INR</t>
        </is>
      </c>
      <c r="C20" s="20">
        <f>SUM(C16:C19)</f>
        <v/>
      </c>
      <c r="D20" s="20">
        <f>SUM(D16:D19)</f>
        <v/>
      </c>
      <c r="E20" s="20">
        <f>SUM(E16:E19)</f>
        <v/>
      </c>
      <c r="F20" s="20">
        <f>SUM(F16:F19)</f>
        <v/>
      </c>
      <c r="G20" s="20">
        <f>SUM(G16:G19)</f>
        <v/>
      </c>
      <c r="H20" s="20">
        <f>SUM(H16:H19)</f>
        <v/>
      </c>
      <c r="I20" s="20">
        <f>SUM(I16:I19)</f>
        <v/>
      </c>
      <c r="J20" s="20">
        <f>SUM(J16:J19)</f>
        <v/>
      </c>
      <c r="K20" s="20">
        <f>SUM(K16:K19)</f>
        <v/>
      </c>
      <c r="L20" s="20">
        <f>SUM(L16:L19)</f>
        <v/>
      </c>
      <c r="M20" s="20">
        <f>SUM(M16:M19)</f>
        <v/>
      </c>
      <c r="N20" s="20">
        <f>SUM(N16:N19)</f>
        <v/>
      </c>
      <c r="O20" s="20">
        <f>SUM(O16:O19)</f>
        <v/>
      </c>
      <c r="P20" s="20">
        <f>SUM(P16:P19)</f>
        <v/>
      </c>
      <c r="Q20" s="20">
        <f>SUM(Q16:Q19)</f>
        <v/>
      </c>
      <c r="R20" s="20">
        <f>SUM(R16:R19)</f>
        <v/>
      </c>
      <c r="S20" s="20">
        <f>SUM(S16:S19)</f>
        <v/>
      </c>
      <c r="T20" s="20">
        <f>SUM(T16:T19)</f>
        <v/>
      </c>
      <c r="U20" s="20">
        <f>SUM(U16:U19)</f>
        <v/>
      </c>
      <c r="V20" s="20">
        <f>SUM(V16:V19)</f>
        <v/>
      </c>
      <c r="W20" s="20">
        <f>SUM(W16:W19)</f>
        <v/>
      </c>
      <c r="X20" s="20">
        <f>SUM(X16:X19)</f>
        <v/>
      </c>
      <c r="Y20" s="20">
        <f>SUM(Y16:Y19)</f>
        <v/>
      </c>
      <c r="Z20" s="20">
        <f>SUM(Z16:Z19)</f>
        <v/>
      </c>
      <c r="AA20" s="20">
        <f>SUM(AA16:AA19)</f>
        <v/>
      </c>
      <c r="AB20" s="20">
        <f>SUM(AB16:AB19)</f>
        <v/>
      </c>
      <c r="AC20" s="20">
        <f>SUM(AC16:AC19)</f>
        <v/>
      </c>
      <c r="AD20" s="20">
        <f>SUM(AD16:AD19)</f>
        <v/>
      </c>
      <c r="AE20" s="20">
        <f>SUM(AE16:AE19)</f>
        <v/>
      </c>
      <c r="AF20" s="20">
        <f>SUM(AF16:AF19)</f>
        <v/>
      </c>
      <c r="AG20" s="20">
        <f>SUM(AG16:AG19)</f>
        <v/>
      </c>
      <c r="AH20" s="20">
        <f>SUM(AH16:AH19)</f>
        <v/>
      </c>
      <c r="AI20" s="20">
        <f>SUM(AI16:AI19)</f>
        <v/>
      </c>
      <c r="AJ20" s="20">
        <f>SUM(AJ16:AJ19)</f>
        <v/>
      </c>
      <c r="AK20" s="20">
        <f>SUM(AK16:AK19)</f>
        <v/>
      </c>
      <c r="AL20" s="20">
        <f>SUM(AL16:AL19)</f>
        <v/>
      </c>
      <c r="AM20" s="20">
        <f>SUM(AM16:AM19)</f>
        <v/>
      </c>
      <c r="AN20" s="20">
        <f>SUM(AN16:AN19)</f>
        <v/>
      </c>
      <c r="AO20" s="20">
        <f>SUM(AO16:AO19)</f>
        <v/>
      </c>
      <c r="AP20" s="20">
        <f>SUM(AP16:AP19)</f>
        <v/>
      </c>
      <c r="AQ20" s="20">
        <f>SUM(AQ16:AQ19)</f>
        <v/>
      </c>
      <c r="AR20" s="20">
        <f>SUM(AR16:AR19)</f>
        <v/>
      </c>
      <c r="AS20" s="20">
        <f>SUM(AS16:AS19)</f>
        <v/>
      </c>
      <c r="AT20" s="20">
        <f>SUM(AT16:AT19)</f>
        <v/>
      </c>
      <c r="AU20" s="20">
        <f>SUM(AU16:AU19)</f>
        <v/>
      </c>
      <c r="AV20" s="20">
        <f>SUM(AV16:AV19)</f>
        <v/>
      </c>
      <c r="AW20" s="20">
        <f>SUM(AW16:AW19)</f>
        <v/>
      </c>
      <c r="AX20" s="20">
        <f>SUM(AX16:AX19)</f>
        <v/>
      </c>
    </row>
    <row r="21">
      <c r="A21" s="17" t="inlineStr">
        <is>
          <t>EBITDA</t>
        </is>
      </c>
      <c r="B21" s="19" t="inlineStr">
        <is>
          <t>INR</t>
        </is>
      </c>
      <c r="C21" s="20">
        <f>C15-C20</f>
        <v/>
      </c>
      <c r="D21" s="20">
        <f>D15-D20</f>
        <v/>
      </c>
      <c r="E21" s="20">
        <f>E15-E20</f>
        <v/>
      </c>
      <c r="F21" s="20">
        <f>F15-F20</f>
        <v/>
      </c>
      <c r="G21" s="20">
        <f>G15-G20</f>
        <v/>
      </c>
      <c r="H21" s="20">
        <f>H15-H20</f>
        <v/>
      </c>
      <c r="I21" s="20">
        <f>I15-I20</f>
        <v/>
      </c>
      <c r="J21" s="20">
        <f>J15-J20</f>
        <v/>
      </c>
      <c r="K21" s="20">
        <f>K15-K20</f>
        <v/>
      </c>
      <c r="L21" s="20">
        <f>L15-L20</f>
        <v/>
      </c>
      <c r="M21" s="20">
        <f>M15-M20</f>
        <v/>
      </c>
      <c r="N21" s="20">
        <f>N15-N20</f>
        <v/>
      </c>
      <c r="O21" s="20">
        <f>O15-O20</f>
        <v/>
      </c>
      <c r="P21" s="20">
        <f>P15-P20</f>
        <v/>
      </c>
      <c r="Q21" s="20">
        <f>Q15-Q20</f>
        <v/>
      </c>
      <c r="R21" s="20">
        <f>R15-R20</f>
        <v/>
      </c>
      <c r="S21" s="20">
        <f>S15-S20</f>
        <v/>
      </c>
      <c r="T21" s="20">
        <f>T15-T20</f>
        <v/>
      </c>
      <c r="U21" s="20">
        <f>U15-U20</f>
        <v/>
      </c>
      <c r="V21" s="20">
        <f>V15-V20</f>
        <v/>
      </c>
      <c r="W21" s="20">
        <f>W15-W20</f>
        <v/>
      </c>
      <c r="X21" s="20">
        <f>X15-X20</f>
        <v/>
      </c>
      <c r="Y21" s="20">
        <f>Y15-Y20</f>
        <v/>
      </c>
      <c r="Z21" s="20">
        <f>Z15-Z20</f>
        <v/>
      </c>
      <c r="AA21" s="20">
        <f>AA15-AA20</f>
        <v/>
      </c>
      <c r="AB21" s="20">
        <f>AB15-AB20</f>
        <v/>
      </c>
      <c r="AC21" s="20">
        <f>AC15-AC20</f>
        <v/>
      </c>
      <c r="AD21" s="20">
        <f>AD15-AD20</f>
        <v/>
      </c>
      <c r="AE21" s="20">
        <f>AE15-AE20</f>
        <v/>
      </c>
      <c r="AF21" s="20">
        <f>AF15-AF20</f>
        <v/>
      </c>
      <c r="AG21" s="20">
        <f>AG15-AG20</f>
        <v/>
      </c>
      <c r="AH21" s="20">
        <f>AH15-AH20</f>
        <v/>
      </c>
      <c r="AI21" s="20">
        <f>AI15-AI20</f>
        <v/>
      </c>
      <c r="AJ21" s="20">
        <f>AJ15-AJ20</f>
        <v/>
      </c>
      <c r="AK21" s="20">
        <f>AK15-AK20</f>
        <v/>
      </c>
      <c r="AL21" s="20">
        <f>AL15-AL20</f>
        <v/>
      </c>
      <c r="AM21" s="20">
        <f>AM15-AM20</f>
        <v/>
      </c>
      <c r="AN21" s="20">
        <f>AN15-AN20</f>
        <v/>
      </c>
      <c r="AO21" s="20">
        <f>AO15-AO20</f>
        <v/>
      </c>
      <c r="AP21" s="20">
        <f>AP15-AP20</f>
        <v/>
      </c>
      <c r="AQ21" s="20">
        <f>AQ15-AQ20</f>
        <v/>
      </c>
      <c r="AR21" s="20">
        <f>AR15-AR20</f>
        <v/>
      </c>
      <c r="AS21" s="20">
        <f>AS15-AS20</f>
        <v/>
      </c>
      <c r="AT21" s="20">
        <f>AT15-AT20</f>
        <v/>
      </c>
      <c r="AU21" s="20">
        <f>AU15-AU20</f>
        <v/>
      </c>
      <c r="AV21" s="20">
        <f>AV15-AV20</f>
        <v/>
      </c>
      <c r="AW21" s="20">
        <f>AW15-AW20</f>
        <v/>
      </c>
      <c r="AX21" s="20">
        <f>AX15-AX20</f>
        <v/>
      </c>
    </row>
    <row r="22">
      <c r="A22" s="8" t="inlineStr">
        <is>
          <t>Funding inflow</t>
        </is>
      </c>
      <c r="B22" s="14" t="inlineStr">
        <is>
          <t>INR</t>
        </is>
      </c>
      <c r="C22" s="24" t="n">
        <v>50000000</v>
      </c>
      <c r="D22" s="24" t="n">
        <v>0</v>
      </c>
      <c r="E22" s="24" t="n">
        <v>0</v>
      </c>
      <c r="F22" s="24" t="n">
        <v>0</v>
      </c>
      <c r="G22" s="24" t="n">
        <v>0</v>
      </c>
      <c r="H22" s="24" t="n">
        <v>0</v>
      </c>
      <c r="I22" s="24" t="n">
        <v>0</v>
      </c>
      <c r="J22" s="24" t="n">
        <v>0</v>
      </c>
      <c r="K22" s="24" t="n">
        <v>0</v>
      </c>
      <c r="L22" s="24" t="n">
        <v>0</v>
      </c>
      <c r="M22" s="24" t="n">
        <v>0</v>
      </c>
      <c r="N22" s="24" t="n">
        <v>0</v>
      </c>
      <c r="O22" s="24" t="n">
        <v>0</v>
      </c>
      <c r="P22" s="24" t="n">
        <v>0</v>
      </c>
      <c r="Q22" s="24" t="n">
        <v>0</v>
      </c>
      <c r="R22" s="24" t="n">
        <v>0</v>
      </c>
      <c r="S22" s="24" t="n">
        <v>0</v>
      </c>
      <c r="T22" s="24" t="n">
        <v>0</v>
      </c>
      <c r="U22" s="24" t="n">
        <v>0</v>
      </c>
      <c r="V22" s="24" t="n">
        <v>25000000</v>
      </c>
      <c r="W22" s="24" t="n">
        <v>0</v>
      </c>
      <c r="X22" s="24" t="n">
        <v>0</v>
      </c>
      <c r="Y22" s="24" t="n">
        <v>0</v>
      </c>
      <c r="Z22" s="24" t="n">
        <v>0</v>
      </c>
      <c r="AA22" s="24" t="n">
        <v>0</v>
      </c>
      <c r="AB22" s="24" t="n">
        <v>0</v>
      </c>
      <c r="AC22" s="24" t="n">
        <v>0</v>
      </c>
      <c r="AD22" s="24" t="n">
        <v>0</v>
      </c>
      <c r="AE22" s="24" t="n">
        <v>0</v>
      </c>
      <c r="AF22" s="24" t="n">
        <v>0</v>
      </c>
      <c r="AG22" s="24" t="n">
        <v>0</v>
      </c>
      <c r="AH22" s="24" t="n">
        <v>0</v>
      </c>
      <c r="AI22" s="24" t="n">
        <v>0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</row>
    <row r="23">
      <c r="A23" s="17" t="inlineStr">
        <is>
          <t>Cash balance</t>
        </is>
      </c>
      <c r="B23" s="19" t="inlineStr">
        <is>
          <t>INR</t>
        </is>
      </c>
      <c r="C23" s="20">
        <f>Assumptions!$B$27+C21+C22</f>
        <v/>
      </c>
      <c r="D23" s="20">
        <f>C23+D21+D22</f>
        <v/>
      </c>
      <c r="E23" s="20">
        <f>D23+E21+E22</f>
        <v/>
      </c>
      <c r="F23" s="20">
        <f>E23+F21+F22</f>
        <v/>
      </c>
      <c r="G23" s="20">
        <f>F23+G21+G22</f>
        <v/>
      </c>
      <c r="H23" s="20">
        <f>G23+H21+H22</f>
        <v/>
      </c>
      <c r="I23" s="20">
        <f>H23+I21+I22</f>
        <v/>
      </c>
      <c r="J23" s="20">
        <f>I23+J21+J22</f>
        <v/>
      </c>
      <c r="K23" s="20">
        <f>J23+K21+K22</f>
        <v/>
      </c>
      <c r="L23" s="20">
        <f>K23+L21+L22</f>
        <v/>
      </c>
      <c r="M23" s="20">
        <f>L23+M21+M22</f>
        <v/>
      </c>
      <c r="N23" s="20">
        <f>M23+N21+N22</f>
        <v/>
      </c>
      <c r="O23" s="20">
        <f>N23+O21+O22</f>
        <v/>
      </c>
      <c r="P23" s="20">
        <f>O23+P21+P22</f>
        <v/>
      </c>
      <c r="Q23" s="20">
        <f>P23+Q21+Q22</f>
        <v/>
      </c>
      <c r="R23" s="20">
        <f>Q23+R21+R22</f>
        <v/>
      </c>
      <c r="S23" s="20">
        <f>R23+S21+S22</f>
        <v/>
      </c>
      <c r="T23" s="20">
        <f>S23+T21+T22</f>
        <v/>
      </c>
      <c r="U23" s="20">
        <f>T23+U21+U22</f>
        <v/>
      </c>
      <c r="V23" s="20">
        <f>U23+V21+V22</f>
        <v/>
      </c>
      <c r="W23" s="20">
        <f>V23+W21+W22</f>
        <v/>
      </c>
      <c r="X23" s="20">
        <f>W23+X21+X22</f>
        <v/>
      </c>
      <c r="Y23" s="20">
        <f>X23+Y21+Y22</f>
        <v/>
      </c>
      <c r="Z23" s="20">
        <f>Y23+Z21+Z22</f>
        <v/>
      </c>
      <c r="AA23" s="20">
        <f>Z23+AA21+AA22</f>
        <v/>
      </c>
      <c r="AB23" s="20">
        <f>AA23+AB21+AB22</f>
        <v/>
      </c>
      <c r="AC23" s="20">
        <f>AB23+AC21+AC22</f>
        <v/>
      </c>
      <c r="AD23" s="20">
        <f>AC23+AD21+AD22</f>
        <v/>
      </c>
      <c r="AE23" s="20">
        <f>AD23+AE21+AE22</f>
        <v/>
      </c>
      <c r="AF23" s="20">
        <f>AE23+AF21+AF22</f>
        <v/>
      </c>
      <c r="AG23" s="20">
        <f>AF23+AG21+AG22</f>
        <v/>
      </c>
      <c r="AH23" s="20">
        <f>AG23+AH21+AH22</f>
        <v/>
      </c>
      <c r="AI23" s="20">
        <f>AH23+AI21+AI22</f>
        <v/>
      </c>
      <c r="AJ23" s="20">
        <f>AI23+AJ21+AJ22</f>
        <v/>
      </c>
      <c r="AK23" s="20">
        <f>AJ23+AK21+AK22</f>
        <v/>
      </c>
      <c r="AL23" s="20">
        <f>AK23+AL21+AL22</f>
        <v/>
      </c>
      <c r="AM23" s="20">
        <f>AL23+AM21+AM22</f>
        <v/>
      </c>
      <c r="AN23" s="20">
        <f>AM23+AN21+AN22</f>
        <v/>
      </c>
      <c r="AO23" s="20">
        <f>AN23+AO21+AO22</f>
        <v/>
      </c>
      <c r="AP23" s="20">
        <f>AO23+AP21+AP22</f>
        <v/>
      </c>
      <c r="AQ23" s="20">
        <f>AP23+AQ21+AQ22</f>
        <v/>
      </c>
      <c r="AR23" s="20">
        <f>AQ23+AR21+AR22</f>
        <v/>
      </c>
      <c r="AS23" s="20">
        <f>AR23+AS21+AS22</f>
        <v/>
      </c>
      <c r="AT23" s="20">
        <f>AS23+AT21+AT22</f>
        <v/>
      </c>
      <c r="AU23" s="20">
        <f>AT23+AU21+AU22</f>
        <v/>
      </c>
      <c r="AV23" s="20">
        <f>AU23+AV21+AV22</f>
        <v/>
      </c>
      <c r="AW23" s="20">
        <f>AV23+AW21+AW22</f>
        <v/>
      </c>
      <c r="AX23" s="20">
        <f>AW23+AX21+AX22</f>
        <v/>
      </c>
    </row>
    <row r="24">
      <c r="A24" s="14" t="inlineStr">
        <is>
          <t>Runway (months)</t>
        </is>
      </c>
      <c r="B24" s="14" t="inlineStr">
        <is>
          <t>months</t>
        </is>
      </c>
      <c r="C24" s="31">
        <f>IF(C21&gt;=0,"profitable",IF(C23&lt;=0,"funding needed",C23/-C21))</f>
        <v/>
      </c>
      <c r="D24" s="31">
        <f>IF(D21&gt;=0,"profitable",IF(D23&lt;=0,"funding needed",D23/-D21))</f>
        <v/>
      </c>
      <c r="E24" s="31">
        <f>IF(E21&gt;=0,"profitable",IF(E23&lt;=0,"funding needed",E23/-E21))</f>
        <v/>
      </c>
      <c r="F24" s="31">
        <f>IF(F21&gt;=0,"profitable",IF(F23&lt;=0,"funding needed",F23/-F21))</f>
        <v/>
      </c>
      <c r="G24" s="31">
        <f>IF(G21&gt;=0,"profitable",IF(G23&lt;=0,"funding needed",G23/-G21))</f>
        <v/>
      </c>
      <c r="H24" s="31">
        <f>IF(H21&gt;=0,"profitable",IF(H23&lt;=0,"funding needed",H23/-H21))</f>
        <v/>
      </c>
      <c r="I24" s="31">
        <f>IF(I21&gt;=0,"profitable",IF(I23&lt;=0,"funding needed",I23/-I21))</f>
        <v/>
      </c>
      <c r="J24" s="31">
        <f>IF(J21&gt;=0,"profitable",IF(J23&lt;=0,"funding needed",J23/-J21))</f>
        <v/>
      </c>
      <c r="K24" s="31">
        <f>IF(K21&gt;=0,"profitable",IF(K23&lt;=0,"funding needed",K23/-K21))</f>
        <v/>
      </c>
      <c r="L24" s="31">
        <f>IF(L21&gt;=0,"profitable",IF(L23&lt;=0,"funding needed",L23/-L21))</f>
        <v/>
      </c>
      <c r="M24" s="31">
        <f>IF(M21&gt;=0,"profitable",IF(M23&lt;=0,"funding needed",M23/-M21))</f>
        <v/>
      </c>
      <c r="N24" s="31">
        <f>IF(N21&gt;=0,"profitable",IF(N23&lt;=0,"funding needed",N23/-N21))</f>
        <v/>
      </c>
      <c r="O24" s="31">
        <f>IF(O21&gt;=0,"profitable",IF(O23&lt;=0,"funding needed",O23/-O21))</f>
        <v/>
      </c>
      <c r="P24" s="31">
        <f>IF(P21&gt;=0,"profitable",IF(P23&lt;=0,"funding needed",P23/-P21))</f>
        <v/>
      </c>
      <c r="Q24" s="31">
        <f>IF(Q21&gt;=0,"profitable",IF(Q23&lt;=0,"funding needed",Q23/-Q21))</f>
        <v/>
      </c>
      <c r="R24" s="31">
        <f>IF(R21&gt;=0,"profitable",IF(R23&lt;=0,"funding needed",R23/-R21))</f>
        <v/>
      </c>
      <c r="S24" s="31">
        <f>IF(S21&gt;=0,"profitable",IF(S23&lt;=0,"funding needed",S23/-S21))</f>
        <v/>
      </c>
      <c r="T24" s="31">
        <f>IF(T21&gt;=0,"profitable",IF(T23&lt;=0,"funding needed",T23/-T21))</f>
        <v/>
      </c>
      <c r="U24" s="31">
        <f>IF(U21&gt;=0,"profitable",IF(U23&lt;=0,"funding needed",U23/-U21))</f>
        <v/>
      </c>
      <c r="V24" s="31">
        <f>IF(V21&gt;=0,"profitable",IF(V23&lt;=0,"funding needed",V23/-V21))</f>
        <v/>
      </c>
      <c r="W24" s="31">
        <f>IF(W21&gt;=0,"profitable",IF(W23&lt;=0,"funding needed",W23/-W21))</f>
        <v/>
      </c>
      <c r="X24" s="31">
        <f>IF(X21&gt;=0,"profitable",IF(X23&lt;=0,"funding needed",X23/-X21))</f>
        <v/>
      </c>
      <c r="Y24" s="31">
        <f>IF(Y21&gt;=0,"profitable",IF(Y23&lt;=0,"funding needed",Y23/-Y21))</f>
        <v/>
      </c>
      <c r="Z24" s="31">
        <f>IF(Z21&gt;=0,"profitable",IF(Z23&lt;=0,"funding needed",Z23/-Z21))</f>
        <v/>
      </c>
      <c r="AA24" s="31">
        <f>IF(AA21&gt;=0,"profitable",IF(AA23&lt;=0,"funding needed",AA23/-AA21))</f>
        <v/>
      </c>
      <c r="AB24" s="31">
        <f>IF(AB21&gt;=0,"profitable",IF(AB23&lt;=0,"funding needed",AB23/-AB21))</f>
        <v/>
      </c>
      <c r="AC24" s="31">
        <f>IF(AC21&gt;=0,"profitable",IF(AC23&lt;=0,"funding needed",AC23/-AC21))</f>
        <v/>
      </c>
      <c r="AD24" s="31">
        <f>IF(AD21&gt;=0,"profitable",IF(AD23&lt;=0,"funding needed",AD23/-AD21))</f>
        <v/>
      </c>
      <c r="AE24" s="31">
        <f>IF(AE21&gt;=0,"profitable",IF(AE23&lt;=0,"funding needed",AE23/-AE21))</f>
        <v/>
      </c>
      <c r="AF24" s="31">
        <f>IF(AF21&gt;=0,"profitable",IF(AF23&lt;=0,"funding needed",AF23/-AF21))</f>
        <v/>
      </c>
      <c r="AG24" s="31">
        <f>IF(AG21&gt;=0,"profitable",IF(AG23&lt;=0,"funding needed",AG23/-AG21))</f>
        <v/>
      </c>
      <c r="AH24" s="31">
        <f>IF(AH21&gt;=0,"profitable",IF(AH23&lt;=0,"funding needed",AH23/-AH21))</f>
        <v/>
      </c>
      <c r="AI24" s="31">
        <f>IF(AI21&gt;=0,"profitable",IF(AI23&lt;=0,"funding needed",AI23/-AI21))</f>
        <v/>
      </c>
      <c r="AJ24" s="31">
        <f>IF(AJ21&gt;=0,"profitable",IF(AJ23&lt;=0,"funding needed",AJ23/-AJ21))</f>
        <v/>
      </c>
      <c r="AK24" s="31">
        <f>IF(AK21&gt;=0,"profitable",IF(AK23&lt;=0,"funding needed",AK23/-AK21))</f>
        <v/>
      </c>
      <c r="AL24" s="31">
        <f>IF(AL21&gt;=0,"profitable",IF(AL23&lt;=0,"funding needed",AL23/-AL21))</f>
        <v/>
      </c>
      <c r="AM24" s="31">
        <f>IF(AM21&gt;=0,"profitable",IF(AM23&lt;=0,"funding needed",AM23/-AM21))</f>
        <v/>
      </c>
      <c r="AN24" s="31">
        <f>IF(AN21&gt;=0,"profitable",IF(AN23&lt;=0,"funding needed",AN23/-AN21))</f>
        <v/>
      </c>
      <c r="AO24" s="31">
        <f>IF(AO21&gt;=0,"profitable",IF(AO23&lt;=0,"funding needed",AO23/-AO21))</f>
        <v/>
      </c>
      <c r="AP24" s="31">
        <f>IF(AP21&gt;=0,"profitable",IF(AP23&lt;=0,"funding needed",AP23/-AP21))</f>
        <v/>
      </c>
      <c r="AQ24" s="31">
        <f>IF(AQ21&gt;=0,"profitable",IF(AQ23&lt;=0,"funding needed",AQ23/-AQ21))</f>
        <v/>
      </c>
      <c r="AR24" s="31">
        <f>IF(AR21&gt;=0,"profitable",IF(AR23&lt;=0,"funding needed",AR23/-AR21))</f>
        <v/>
      </c>
      <c r="AS24" s="31">
        <f>IF(AS21&gt;=0,"profitable",IF(AS23&lt;=0,"funding needed",AS23/-AS21))</f>
        <v/>
      </c>
      <c r="AT24" s="31">
        <f>IF(AT21&gt;=0,"profitable",IF(AT23&lt;=0,"funding needed",AT23/-AT21))</f>
        <v/>
      </c>
      <c r="AU24" s="31">
        <f>IF(AU21&gt;=0,"profitable",IF(AU23&lt;=0,"funding needed",AU23/-AU21))</f>
        <v/>
      </c>
      <c r="AV24" s="31">
        <f>IF(AV21&gt;=0,"profitable",IF(AV23&lt;=0,"funding needed",AV23/-AV21))</f>
        <v/>
      </c>
      <c r="AW24" s="31">
        <f>IF(AW21&gt;=0,"profitable",IF(AW23&lt;=0,"funding needed",AW23/-AW21))</f>
        <v/>
      </c>
      <c r="AX24" s="31">
        <f>IF(AX21&gt;=0,"profitable",IF(AX23&lt;=0,"funding needed",AX23/-AX21))</f>
        <v/>
      </c>
    </row>
    <row r="26">
      <c r="A26" s="12" t="inlineStr">
        <is>
          <t>Yellow = editable input. Funding plan: ₹1 Cr founder capital at M0, ₹5 Cr seed at M1, ₹2.5 Cr bridge at M20. Edit the Funding inflow row to model a different path.</t>
        </is>
      </c>
    </row>
    <row r="27">
      <c r="A27" s="12" t="inlineStr">
        <is>
          <t>Support tooling (₹55/org) excludes support salaries, which are already inside Team cost — counting both would double-count the same rupees.</t>
        </is>
      </c>
    </row>
    <row r="28">
      <c r="A28" s="12" t="inlineStr">
        <is>
          <t>Churn and ARPU are modelled explicitly here (rows 6 and 8) rather than taken from the Assumptions sheet, because retention improves and prices rise as the customer base matures.</t>
        </is>
      </c>
    </row>
  </sheetData>
  <mergeCells count="3">
    <mergeCell ref="A28:J28"/>
    <mergeCell ref="A27:J27"/>
    <mergeCell ref="A26:J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Growth Scenarios — 10K to 10M Users</t>
        </is>
      </c>
    </row>
    <row r="2">
      <c r="A2" s="2" t="inlineStr">
        <is>
          <t>Annualised snapshot at each stage. Metrics mirror business/SCALABILITY_PLAN.md.</t>
        </is>
      </c>
    </row>
    <row r="4" ht="30" customHeight="1">
      <c r="A4" s="7" t="inlineStr">
        <is>
          <t>Metric</t>
        </is>
      </c>
      <c r="B4" s="7" t="inlineStr">
        <is>
          <t>10K users</t>
        </is>
      </c>
      <c r="C4" s="7" t="inlineStr">
        <is>
          <t>100K users</t>
        </is>
      </c>
      <c r="D4" s="7" t="inlineStr">
        <is>
          <t>1M users</t>
        </is>
      </c>
      <c r="E4" s="7" t="inlineStr">
        <is>
          <t>10M users</t>
        </is>
      </c>
    </row>
    <row r="5">
      <c r="A5" s="8" t="inlineStr">
        <is>
          <t>Registered users</t>
        </is>
      </c>
      <c r="B5" s="13" t="n">
        <v>10000</v>
      </c>
      <c r="C5" s="13" t="n">
        <v>100000</v>
      </c>
      <c r="D5" s="13" t="n">
        <v>1000000</v>
      </c>
      <c r="E5" s="13" t="n">
        <v>10000000</v>
      </c>
    </row>
    <row r="6">
      <c r="A6" s="8" t="inlineStr">
        <is>
          <t>Organizations</t>
        </is>
      </c>
      <c r="B6" s="11">
        <f>B5/Assumptions!$B$6</f>
        <v/>
      </c>
      <c r="C6" s="11">
        <f>C5/Assumptions!$B$6</f>
        <v/>
      </c>
      <c r="D6" s="11">
        <f>D5/Assumptions!$B$6</f>
        <v/>
      </c>
      <c r="E6" s="11">
        <f>E5/Assumptions!$B$6</f>
        <v/>
      </c>
    </row>
    <row r="7">
      <c r="A7" s="8" t="inlineStr">
        <is>
          <t>ARPU (INR/month)</t>
        </is>
      </c>
      <c r="B7" s="9">
        <f>Assumptions!$B$7*1.08</f>
        <v/>
      </c>
      <c r="C7" s="9">
        <f>Assumptions!$B$7*1.08</f>
        <v/>
      </c>
      <c r="D7" s="9">
        <f>Assumptions!$B$7*1.08</f>
        <v/>
      </c>
      <c r="E7" s="9">
        <f>Assumptions!$B$7*1.08</f>
        <v/>
      </c>
    </row>
    <row r="8">
      <c r="A8" s="8" t="inlineStr">
        <is>
          <t>Monthly revenue</t>
        </is>
      </c>
      <c r="B8" s="9">
        <f>B6*B7</f>
        <v/>
      </c>
      <c r="C8" s="9">
        <f>C6*C7</f>
        <v/>
      </c>
      <c r="D8" s="9">
        <f>D6*D7</f>
        <v/>
      </c>
      <c r="E8" s="9">
        <f>E6*E7</f>
        <v/>
      </c>
    </row>
    <row r="9">
      <c r="A9" s="8" t="inlineStr">
        <is>
          <t>Annual revenue (ARR)</t>
        </is>
      </c>
      <c r="B9" s="9">
        <f>B8*12</f>
        <v/>
      </c>
      <c r="C9" s="9">
        <f>C8*12</f>
        <v/>
      </c>
      <c r="D9" s="9">
        <f>D8*12</f>
        <v/>
      </c>
      <c r="E9" s="9">
        <f>E8*12</f>
        <v/>
      </c>
    </row>
    <row r="10">
      <c r="A10" s="8" t="inlineStr">
        <is>
          <t>Annual infrastructure</t>
        </is>
      </c>
      <c r="B10" s="24" t="n">
        <v>2217600</v>
      </c>
      <c r="C10" s="24" t="n">
        <v>22680000</v>
      </c>
      <c r="D10" s="24" t="n">
        <v>173376000</v>
      </c>
      <c r="E10" s="24" t="n">
        <v>1380960000</v>
      </c>
    </row>
    <row r="11">
      <c r="A11" s="8" t="inlineStr">
        <is>
          <t>Annual support tooling</t>
        </is>
      </c>
      <c r="B11" s="9">
        <f>B6*Assumptions!$B$18*12</f>
        <v/>
      </c>
      <c r="C11" s="9">
        <f>C6*Assumptions!$B$18*12</f>
        <v/>
      </c>
      <c r="D11" s="9">
        <f>D6*Assumptions!$B$18*12</f>
        <v/>
      </c>
      <c r="E11" s="9">
        <f>E6*Assumptions!$B$18*12</f>
        <v/>
      </c>
    </row>
    <row r="12">
      <c r="A12" s="8" t="inlineStr">
        <is>
          <t>Annual team cost</t>
        </is>
      </c>
      <c r="B12" s="24" t="n">
        <v>44000000</v>
      </c>
      <c r="C12" s="24" t="n">
        <v>90000000</v>
      </c>
      <c r="D12" s="24" t="n">
        <v>350000000</v>
      </c>
      <c r="E12" s="24" t="n">
        <v>1100000000</v>
      </c>
    </row>
    <row r="13">
      <c r="A13" s="8" t="inlineStr">
        <is>
          <t>Annual marketing &amp; sales</t>
        </is>
      </c>
      <c r="B13" s="24" t="n">
        <v>10000000</v>
      </c>
      <c r="C13" s="24" t="n">
        <v>60000000</v>
      </c>
      <c r="D13" s="24" t="n">
        <v>1900000000</v>
      </c>
      <c r="E13" s="24" t="n">
        <v>26000000000</v>
      </c>
    </row>
    <row r="14">
      <c r="A14" s="17" t="inlineStr">
        <is>
          <t>Annual EBITDA</t>
        </is>
      </c>
      <c r="B14" s="20">
        <f>B9-B10-B11-B12-B13</f>
        <v/>
      </c>
      <c r="C14" s="20">
        <f>C9-C10-C11-C12-C13</f>
        <v/>
      </c>
      <c r="D14" s="20">
        <f>D9-D10-D11-D12-D13</f>
        <v/>
      </c>
      <c r="E14" s="20">
        <f>E9-E10-E11-E12-E13</f>
        <v/>
      </c>
    </row>
    <row r="15">
      <c r="A15" s="8" t="inlineStr">
        <is>
          <t>EBITDA margin</t>
        </is>
      </c>
      <c r="B15" s="32">
        <f>B14/B9</f>
        <v/>
      </c>
      <c r="C15" s="32">
        <f>C14/C9</f>
        <v/>
      </c>
      <c r="D15" s="32">
        <f>D14/D9</f>
        <v/>
      </c>
      <c r="E15" s="32">
        <f>E14/E9</f>
        <v/>
      </c>
    </row>
    <row r="16">
      <c r="A16" s="8" t="inlineStr">
        <is>
          <t>Infrastructure as % of revenue</t>
        </is>
      </c>
      <c r="B16" s="32">
        <f>B10/B9</f>
        <v/>
      </c>
      <c r="C16" s="32">
        <f>C10/C9</f>
        <v/>
      </c>
      <c r="D16" s="32">
        <f>D10/D9</f>
        <v/>
      </c>
      <c r="E16" s="32">
        <f>E10/E9</f>
        <v/>
      </c>
    </row>
    <row r="17">
      <c r="A17" s="8" t="inlineStr">
        <is>
          <t>Sessions / month</t>
        </is>
      </c>
      <c r="B17" s="13" t="n">
        <v>490909</v>
      </c>
      <c r="C17" s="13" t="n">
        <v>4909091</v>
      </c>
      <c r="D17" s="13" t="n">
        <v>49090909</v>
      </c>
      <c r="E17" s="13" t="n">
        <v>490909091</v>
      </c>
    </row>
    <row r="18">
      <c r="A18" s="8" t="inlineStr">
        <is>
          <t>Infrastructure cost / session (INR)</t>
        </is>
      </c>
      <c r="B18" s="33">
        <f>B10/12/B17</f>
        <v/>
      </c>
      <c r="C18" s="33">
        <f>C10/12/C17</f>
        <v/>
      </c>
      <c r="D18" s="33">
        <f>D10/12/D17</f>
        <v/>
      </c>
      <c r="E18" s="33">
        <f>E10/12/E17</f>
        <v/>
      </c>
    </row>
    <row r="22">
      <c r="A22" s="22" t="inlineStr">
        <is>
          <t>What must change to reach each stage</t>
        </is>
      </c>
      <c r="B22" s="23" t="n"/>
      <c r="C22" s="23" t="n"/>
      <c r="D22" s="23" t="n"/>
      <c r="E22" s="23" t="n"/>
    </row>
    <row r="23" ht="30" customHeight="1">
      <c r="A23" s="7" t="inlineStr">
        <is>
          <t>Stage</t>
        </is>
      </c>
      <c r="B23" s="7" t="inlineStr">
        <is>
          <t>Database</t>
        </is>
      </c>
      <c r="C23" s="7" t="inlineStr">
        <is>
          <t>Storage</t>
        </is>
      </c>
      <c r="D23" s="7" t="inlineStr">
        <is>
          <t>Compute</t>
        </is>
      </c>
      <c r="E23" s="7" t="inlineStr">
        <is>
          <t>Key risk</t>
        </is>
      </c>
    </row>
    <row r="24">
      <c r="A24" s="10" t="inlineStr">
        <is>
          <t>10K users</t>
        </is>
      </c>
      <c r="B24" s="10" t="inlineStr">
        <is>
          <t>M30–M40 single region</t>
        </is>
      </c>
      <c r="C24" s="10" t="inlineStr">
        <is>
          <t>Lifecycle rules, ~30 TB</t>
        </is>
      </c>
      <c r="D24" s="10" t="inlineStr">
        <is>
          <t>Serverless</t>
        </is>
      </c>
      <c r="E24" s="10" t="inlineStr">
        <is>
          <t>Storage cost discipline</t>
        </is>
      </c>
    </row>
    <row r="25">
      <c r="A25" s="10" t="inlineStr">
        <is>
          <t>100K users</t>
        </is>
      </c>
      <c r="B25" s="10" t="inlineStr">
        <is>
          <t>M60 + cross-region replica</t>
        </is>
      </c>
      <c r="C25" s="10" t="inlineStr">
        <is>
          <t>CDN + variants, ~300 TB</t>
        </is>
      </c>
      <c r="D25" s="10" t="inlineStr">
        <is>
          <t>Serverless + workers</t>
        </is>
      </c>
      <c r="E25" s="10" t="inlineStr">
        <is>
          <t>Seasonal peaks</t>
        </is>
      </c>
    </row>
    <row r="26">
      <c r="A26" s="10" t="inlineStr">
        <is>
          <t>1M users</t>
        </is>
      </c>
      <c r="B26" s="10" t="inlineStr">
        <is>
          <t>Sharded M80+ multi-region</t>
        </is>
      </c>
      <c r="C26" s="10" t="inlineStr">
        <is>
          <t>Tiered to archive, ~3 PB</t>
        </is>
      </c>
      <c r="D26" s="10" t="inlineStr">
        <is>
          <t>Containers + edge</t>
        </is>
      </c>
      <c r="E26" s="10" t="inlineStr">
        <is>
          <t>Cost of egress</t>
        </is>
      </c>
    </row>
    <row r="27">
      <c r="A27" s="10" t="inlineStr">
        <is>
          <t>10M users</t>
        </is>
      </c>
      <c r="B27" s="10" t="inlineStr">
        <is>
          <t>Sharded, region-pinned</t>
        </is>
      </c>
      <c r="C27" s="10" t="inlineStr">
        <is>
          <t>~30 PB, aggressive retention</t>
        </is>
      </c>
      <c r="D27" s="10" t="inlineStr">
        <is>
          <t>Multi-region active-active</t>
        </is>
      </c>
      <c r="E27" s="10" t="inlineStr">
        <is>
          <t>Retention economics</t>
        </is>
      </c>
    </row>
    <row r="30">
      <c r="A30" s="12" t="inlineStr">
        <is>
          <t>Read the 1M and 10M columns as arithmetic, not as a forecast. The addressable market for professional photo-booth operators in India + GCC + SEA is realistically 50,000–100,000 organizations, so Stage 2 is the practical ceiling and Stage 3–4 require new geographies or adjacent products. They are included because investors ask, not because we plan to reach them.</t>
        </is>
      </c>
    </row>
  </sheetData>
  <mergeCells count="1">
    <mergeCell ref="A30:E3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6" customWidth="1" min="4" max="4"/>
    <col width="14" customWidth="1" min="5" max="5"/>
    <col width="52" customWidth="1" min="6" max="6"/>
  </cols>
  <sheetData>
    <row r="1">
      <c r="A1" s="1" t="inlineStr">
        <is>
          <t>Actual vs Forecast</t>
        </is>
      </c>
    </row>
    <row r="2">
      <c r="A2" s="2" t="inlineStr">
        <is>
          <t>Fill the Actual column monthly. Variance updates automatically.</t>
        </is>
      </c>
    </row>
    <row r="4" ht="30" customHeight="1">
      <c r="A4" s="7" t="inlineStr">
        <is>
          <t>Month</t>
        </is>
      </c>
      <c r="B4" s="7" t="inlineStr">
        <is>
          <t>Forecast revenue</t>
        </is>
      </c>
      <c r="C4" s="7" t="inlineStr">
        <is>
          <t>Actual revenue</t>
        </is>
      </c>
      <c r="D4" s="7" t="inlineStr">
        <is>
          <t>Variance</t>
        </is>
      </c>
      <c r="E4" s="7" t="inlineStr">
        <is>
          <t>Variance %</t>
        </is>
      </c>
      <c r="F4" s="7" t="inlineStr">
        <is>
          <t>Notes</t>
        </is>
      </c>
    </row>
    <row r="5">
      <c r="A5" s="8" t="inlineStr">
        <is>
          <t>M1</t>
        </is>
      </c>
      <c r="B5" s="9">
        <f>Monthly_Forecast!C11</f>
        <v/>
      </c>
      <c r="C5" s="24" t="n"/>
      <c r="D5" s="9">
        <f>IF(C5="","",C5-B5)</f>
        <v/>
      </c>
      <c r="E5" s="30">
        <f>IF(C5="","",(C5-B5)/MAX(1,B5))</f>
        <v/>
      </c>
      <c r="F5" s="34" t="inlineStr"/>
    </row>
    <row r="6">
      <c r="A6" s="8" t="inlineStr">
        <is>
          <t>M2</t>
        </is>
      </c>
      <c r="B6" s="9">
        <f>Monthly_Forecast!D11</f>
        <v/>
      </c>
      <c r="C6" s="24" t="n"/>
      <c r="D6" s="9">
        <f>IF(C6="","",C6-B6)</f>
        <v/>
      </c>
      <c r="E6" s="30">
        <f>IF(C6="","",(C6-B6)/MAX(1,B6))</f>
        <v/>
      </c>
      <c r="F6" s="34" t="inlineStr"/>
    </row>
    <row r="7">
      <c r="A7" s="8" t="inlineStr">
        <is>
          <t>M3</t>
        </is>
      </c>
      <c r="B7" s="9">
        <f>Monthly_Forecast!E11</f>
        <v/>
      </c>
      <c r="C7" s="24" t="n"/>
      <c r="D7" s="9">
        <f>IF(C7="","",C7-B7)</f>
        <v/>
      </c>
      <c r="E7" s="30">
        <f>IF(C7="","",(C7-B7)/MAX(1,B7))</f>
        <v/>
      </c>
      <c r="F7" s="34" t="inlineStr"/>
    </row>
    <row r="8">
      <c r="A8" s="8" t="inlineStr">
        <is>
          <t>M4</t>
        </is>
      </c>
      <c r="B8" s="9">
        <f>Monthly_Forecast!F11</f>
        <v/>
      </c>
      <c r="C8" s="24" t="n"/>
      <c r="D8" s="9">
        <f>IF(C8="","",C8-B8)</f>
        <v/>
      </c>
      <c r="E8" s="30">
        <f>IF(C8="","",(C8-B8)/MAX(1,B8))</f>
        <v/>
      </c>
      <c r="F8" s="34" t="inlineStr"/>
    </row>
    <row r="9">
      <c r="A9" s="8" t="inlineStr">
        <is>
          <t>M5</t>
        </is>
      </c>
      <c r="B9" s="9">
        <f>Monthly_Forecast!G11</f>
        <v/>
      </c>
      <c r="C9" s="24" t="n"/>
      <c r="D9" s="9">
        <f>IF(C9="","",C9-B9)</f>
        <v/>
      </c>
      <c r="E9" s="30">
        <f>IF(C9="","",(C9-B9)/MAX(1,B9))</f>
        <v/>
      </c>
      <c r="F9" s="34" t="inlineStr"/>
    </row>
    <row r="10">
      <c r="A10" s="8" t="inlineStr">
        <is>
          <t>M6</t>
        </is>
      </c>
      <c r="B10" s="9">
        <f>Monthly_Forecast!H11</f>
        <v/>
      </c>
      <c r="C10" s="24" t="n"/>
      <c r="D10" s="9">
        <f>IF(C10="","",C10-B10)</f>
        <v/>
      </c>
      <c r="E10" s="30">
        <f>IF(C10="","",(C10-B10)/MAX(1,B10))</f>
        <v/>
      </c>
      <c r="F10" s="34" t="inlineStr"/>
    </row>
    <row r="11">
      <c r="A11" s="8" t="inlineStr">
        <is>
          <t>M7</t>
        </is>
      </c>
      <c r="B11" s="9">
        <f>Monthly_Forecast!I11</f>
        <v/>
      </c>
      <c r="C11" s="24" t="n"/>
      <c r="D11" s="9">
        <f>IF(C11="","",C11-B11)</f>
        <v/>
      </c>
      <c r="E11" s="30">
        <f>IF(C11="","",(C11-B11)/MAX(1,B11))</f>
        <v/>
      </c>
      <c r="F11" s="34" t="inlineStr"/>
    </row>
    <row r="12">
      <c r="A12" s="8" t="inlineStr">
        <is>
          <t>M8</t>
        </is>
      </c>
      <c r="B12" s="9">
        <f>Monthly_Forecast!J11</f>
        <v/>
      </c>
      <c r="C12" s="24" t="n"/>
      <c r="D12" s="9">
        <f>IF(C12="","",C12-B12)</f>
        <v/>
      </c>
      <c r="E12" s="30">
        <f>IF(C12="","",(C12-B12)/MAX(1,B12))</f>
        <v/>
      </c>
      <c r="F12" s="34" t="inlineStr"/>
    </row>
    <row r="13">
      <c r="A13" s="8" t="inlineStr">
        <is>
          <t>M9</t>
        </is>
      </c>
      <c r="B13" s="9">
        <f>Monthly_Forecast!K11</f>
        <v/>
      </c>
      <c r="C13" s="24" t="n"/>
      <c r="D13" s="9">
        <f>IF(C13="","",C13-B13)</f>
        <v/>
      </c>
      <c r="E13" s="30">
        <f>IF(C13="","",(C13-B13)/MAX(1,B13))</f>
        <v/>
      </c>
      <c r="F13" s="34" t="inlineStr"/>
    </row>
    <row r="14">
      <c r="A14" s="8" t="inlineStr">
        <is>
          <t>M10</t>
        </is>
      </c>
      <c r="B14" s="9">
        <f>Monthly_Forecast!L11</f>
        <v/>
      </c>
      <c r="C14" s="24" t="n"/>
      <c r="D14" s="9">
        <f>IF(C14="","",C14-B14)</f>
        <v/>
      </c>
      <c r="E14" s="30">
        <f>IF(C14="","",(C14-B14)/MAX(1,B14))</f>
        <v/>
      </c>
      <c r="F14" s="34" t="inlineStr"/>
    </row>
    <row r="15">
      <c r="A15" s="8" t="inlineStr">
        <is>
          <t>M11</t>
        </is>
      </c>
      <c r="B15" s="9">
        <f>Monthly_Forecast!M11</f>
        <v/>
      </c>
      <c r="C15" s="24" t="n"/>
      <c r="D15" s="9">
        <f>IF(C15="","",C15-B15)</f>
        <v/>
      </c>
      <c r="E15" s="30">
        <f>IF(C15="","",(C15-B15)/MAX(1,B15))</f>
        <v/>
      </c>
      <c r="F15" s="34" t="inlineStr"/>
    </row>
    <row r="16">
      <c r="A16" s="8" t="inlineStr">
        <is>
          <t>M12</t>
        </is>
      </c>
      <c r="B16" s="9">
        <f>Monthly_Forecast!N11</f>
        <v/>
      </c>
      <c r="C16" s="24" t="n"/>
      <c r="D16" s="9">
        <f>IF(C16="","",C16-B16)</f>
        <v/>
      </c>
      <c r="E16" s="30">
        <f>IF(C16="","",(C16-B16)/MAX(1,B16))</f>
        <v/>
      </c>
      <c r="F16" s="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2026-10-22T09:26:14Z</dcterms:created>
  <dcterms:modified xsi:type="dcterms:W3CDTF">2026-10-22T09:26:14Z</dcterms:modified>
</cp:coreProperties>
</file>