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Pricing" sheetId="3" state="visible" r:id="rId3"/>
    <sheet name="Customers" sheetId="4" state="visible" r:id="rId4"/>
    <sheet name="Cost_Per_Unit" sheetId="5" state="visible" r:id="rId5"/>
    <sheet name="Margins" sheetId="6" state="visible" r:id="rId6"/>
    <sheet name="BreakEven" sheetId="7" state="visible" r:id="rId7"/>
    <sheet name="Sensitivity" sheetId="8" state="visible" r:id="rId8"/>
    <sheet name="Revenue_Foreca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₹&quot;#,##0"/>
    <numFmt numFmtId="166" formatCode="&quot;₹&quot;#,##0.00"/>
  </numFmts>
  <fonts count="9">
    <font>
      <name val="Calibri"/>
      <family val="2"/>
      <color theme="1"/>
      <sz val="11"/>
      <scheme val="minor"/>
    </font>
    <font>
      <b val="1"/>
      <color rgb="001F2937"/>
      <sz val="18"/>
    </font>
    <font>
      <i val="1"/>
      <color rgb="006B7280"/>
      <sz val="10"/>
    </font>
    <font>
      <b val="1"/>
      <color rgb="00FFFFFF"/>
      <sz val="10"/>
    </font>
    <font>
      <b val="1"/>
      <color rgb="001F2937"/>
      <sz val="10"/>
    </font>
    <font>
      <color rgb="001F2937"/>
      <sz val="10"/>
    </font>
    <font>
      <i val="1"/>
      <color rgb="006B7280"/>
      <sz val="9"/>
    </font>
    <font>
      <b val="1"/>
      <color rgb="000F766E"/>
      <sz val="11"/>
    </font>
    <font>
      <b val="1"/>
      <color rgb="000F766E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CC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5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general" vertical="top" wrapText="1"/>
    </xf>
    <xf numFmtId="164" fontId="5" fillId="3" borderId="1" pivotButton="0" quotePrefix="0" xfId="0"/>
    <xf numFmtId="4" fontId="5" fillId="3" borderId="1" pivotButton="0" quotePrefix="0" xfId="0"/>
    <xf numFmtId="165" fontId="5" fillId="3" borderId="1" pivotButton="0" quotePrefix="0" xfId="0"/>
    <xf numFmtId="166" fontId="5" fillId="4" borderId="1" pivotButton="0" quotePrefix="0" xfId="0"/>
    <xf numFmtId="164" fontId="5" fillId="4" borderId="1" pivotButton="0" quotePrefix="0" xfId="0"/>
    <xf numFmtId="165" fontId="5" fillId="4" borderId="1" pivotButton="0" quotePrefix="0" xfId="0"/>
    <xf numFmtId="0" fontId="6" fillId="0" borderId="0" applyAlignment="1" pivotButton="0" quotePrefix="0" xfId="0">
      <alignment vertical="top" wrapText="1"/>
    </xf>
    <xf numFmtId="3" fontId="5" fillId="4" borderId="1" pivotButton="0" quotePrefix="0" xfId="0"/>
    <xf numFmtId="4" fontId="5" fillId="4" borderId="1" pivotButton="0" quotePrefix="0" xfId="0"/>
    <xf numFmtId="0" fontId="4" fillId="5" borderId="1" pivotButton="0" quotePrefix="0" xfId="0"/>
    <xf numFmtId="165" fontId="4" fillId="5" borderId="1" pivotButton="0" quotePrefix="0" xfId="0"/>
    <xf numFmtId="4" fontId="4" fillId="5" borderId="1" pivotButton="0" quotePrefix="0" xfId="0"/>
    <xf numFmtId="166" fontId="5" fillId="3" borderId="1" pivotButton="0" quotePrefix="0" xfId="0"/>
    <xf numFmtId="0" fontId="7" fillId="6" borderId="1" pivotButton="0" quotePrefix="0" xfId="0"/>
    <xf numFmtId="0" fontId="0" fillId="6" borderId="1" pivotButton="0" quotePrefix="0" xfId="0"/>
    <xf numFmtId="165" fontId="5" fillId="0" borderId="1" pivotButton="0" quotePrefix="0" xfId="0"/>
    <xf numFmtId="164" fontId="4" fillId="5" borderId="1" pivotButton="0" quotePrefix="0" xfId="0"/>
    <xf numFmtId="3" fontId="4" fillId="5" borderId="1" pivotButton="0" quotePrefix="0" xfId="0"/>
    <xf numFmtId="4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A1" s="1" t="inlineStr">
        <is>
          <t>Unit Economics — README</t>
        </is>
      </c>
    </row>
    <row r="2">
      <c r="A2" s="2" t="inlineStr">
        <is>
          <t>HappyPix V2 · prepared 2026-10-23 · INR unless stated · planning estimates, not audited</t>
        </is>
      </c>
    </row>
    <row r="4" ht="15" customHeight="1">
      <c r="B4" s="3" t="inlineStr">
        <is>
          <t>HappyPix — Revenue, Pricing &amp; Unit Economics</t>
        </is>
      </c>
    </row>
    <row r="5" ht="15" customHeight="1">
      <c r="B5" s="4" t="inlineStr">
        <is>
          <t>Companion to FINANCIAL_MODEL.xlsx and business/SCALABILITY_PLAN.md</t>
        </is>
      </c>
    </row>
    <row r="6" ht="15" customHeight="1">
      <c r="B6" s="5" t="inlineStr"/>
    </row>
    <row r="7" ht="15" customHeight="1">
      <c r="B7" s="6" t="inlineStr">
        <is>
          <t>Purpose</t>
        </is>
      </c>
    </row>
    <row r="8" ht="15" customHeight="1">
      <c r="B8" s="5" t="inlineStr">
        <is>
          <t>Answer three questions: what does a customer pay, what does that customer cost, and how</t>
        </is>
      </c>
    </row>
    <row r="9" ht="15" customHeight="1">
      <c r="B9" s="5" t="inlineStr">
        <is>
          <t>many customers are needed before the business stops consuming cash.</t>
        </is>
      </c>
    </row>
    <row r="10" ht="15" customHeight="1">
      <c r="B10" s="5" t="inlineStr"/>
    </row>
    <row r="11" ht="15" customHeight="1">
      <c r="B11" s="6" t="inlineStr">
        <is>
          <t>Sheet guide</t>
        </is>
      </c>
    </row>
    <row r="12" ht="15" customHeight="1">
      <c r="B12" s="5" t="inlineStr">
        <is>
          <t>Assumptions — every input (prices, mix, costs, churn, CAC).</t>
        </is>
      </c>
    </row>
    <row r="13" ht="15" customHeight="1">
      <c r="B13" s="5" t="inlineStr">
        <is>
          <t>Pricing — plan catalogue across four billing periods, net of payment fees.</t>
        </is>
      </c>
    </row>
    <row r="14" ht="15" customHeight="1">
      <c r="B14" s="5" t="inlineStr">
        <is>
          <t>Customers — funnel, lifetime, LTV:CAC and payback.</t>
        </is>
      </c>
    </row>
    <row r="15" ht="15" customHeight="1">
      <c r="B15" s="5" t="inlineStr">
        <is>
          <t>Cost_Per_Unit — cost and margin per session, per print, per photo, per AI call.</t>
        </is>
      </c>
    </row>
    <row r="16" ht="15" customHeight="1">
      <c r="B16" s="5" t="inlineStr">
        <is>
          <t>Margins — contribution, blended margin, break-even, churn sensitivity.</t>
        </is>
      </c>
    </row>
    <row r="17" ht="15" customHeight="1">
      <c r="B17" s="5" t="inlineStr">
        <is>
          <t>BreakEven — break-even org count and MRR, with pricing scenarios.</t>
        </is>
      </c>
    </row>
    <row r="18" ht="15" customHeight="1">
      <c r="B18" s="5" t="inlineStr">
        <is>
          <t>Sensitivity — which lever actually moves the outcome.</t>
        </is>
      </c>
    </row>
    <row r="19" ht="15" customHeight="1">
      <c r="B19" s="5" t="inlineStr">
        <is>
          <t>Revenue_Forecast — ARR, cost and EBITDA at 10K / 100K / 1M / 10M users.</t>
        </is>
      </c>
    </row>
    <row r="20" ht="15" customHeight="1">
      <c r="B20" s="5" t="inlineStr"/>
    </row>
    <row r="21" ht="15" customHeight="1">
      <c r="B21" s="6" t="inlineStr">
        <is>
          <t>The three numbers to remember</t>
        </is>
      </c>
    </row>
    <row r="22" ht="15" customHeight="1">
      <c r="B22" s="5" t="inlineStr">
        <is>
          <t>1. Contribution per organization per month — must exceed ~₹900 for the model to work.</t>
        </is>
      </c>
    </row>
    <row r="23" ht="15" customHeight="1">
      <c r="B23" s="5" t="inlineStr">
        <is>
          <t>2. LTV : CAC — must be above 3.0; below 2.0 means acquisition is broken.</t>
        </is>
      </c>
    </row>
    <row r="24" ht="15" customHeight="1">
      <c r="B24" s="5" t="inlineStr">
        <is>
          <t>3. Break-even organizations — the count that stops the cash burn.</t>
        </is>
      </c>
    </row>
    <row r="25" ht="15" customHeight="1">
      <c r="B25" s="5" t="inlineStr"/>
    </row>
    <row r="26" ht="15" customHeight="1">
      <c r="B26" s="6" t="inlineStr">
        <is>
          <t>Honest caveats</t>
        </is>
      </c>
    </row>
    <row r="27" ht="15" customHeight="1">
      <c r="B27" s="5" t="inlineStr">
        <is>
          <t>Plan prices come from backend/services/planService.js (the source of truth).</t>
        </is>
      </c>
    </row>
    <row r="28" ht="15" customHeight="1">
      <c r="B28" s="5" t="inlineStr">
        <is>
          <t>Media and support costs are planning estimates for Indian metros; verify with your own vendors.</t>
        </is>
      </c>
    </row>
    <row r="29" ht="15" customHeight="1">
      <c r="B29" s="5" t="inlineStr">
        <is>
          <t>GST is excluded from revenue. It is collected on behalf of the government.</t>
        </is>
      </c>
    </row>
    <row r="30" ht="15" customHeight="1">
      <c r="B30" s="5" t="inlineStr">
        <is>
          <t>Print revenue is operator revenue, not platform revenue — it is shown separately and clearly labelled.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58" customWidth="1" min="4" max="4"/>
  </cols>
  <sheetData>
    <row r="1">
      <c r="A1" s="1" t="inlineStr">
        <is>
          <t>Unit Economics — Assumptions</t>
        </is>
      </c>
    </row>
    <row r="2">
      <c r="A2" s="2" t="inlineStr">
        <is>
          <t>Change yellow cells only.</t>
        </is>
      </c>
    </row>
    <row r="4" ht="30" customHeight="1">
      <c r="A4" s="7" t="inlineStr">
        <is>
          <t>Input</t>
        </is>
      </c>
      <c r="B4" s="7" t="inlineStr">
        <is>
          <t>Value</t>
        </is>
      </c>
      <c r="C4" s="7" t="inlineStr">
        <is>
          <t>Unit</t>
        </is>
      </c>
      <c r="D4" s="7" t="inlineStr">
        <is>
          <t>Rationale</t>
        </is>
      </c>
    </row>
    <row r="5">
      <c r="A5" s="8" t="inlineStr">
        <is>
          <t>FX rate</t>
        </is>
      </c>
      <c r="B5" s="9" t="n">
        <v>84</v>
      </c>
      <c r="C5" s="10" t="inlineStr">
        <is>
          <t>INR/USD</t>
        </is>
      </c>
      <c r="D5" s="11" t="inlineStr">
        <is>
          <t>Planning rate</t>
        </is>
      </c>
    </row>
    <row r="6">
      <c r="A6" s="8" t="inlineStr">
        <is>
          <t>Basic plan (monthly)</t>
        </is>
      </c>
      <c r="B6" s="9" t="n">
        <v>1099</v>
      </c>
      <c r="C6" s="10" t="inlineStr">
        <is>
          <t>INR</t>
        </is>
      </c>
      <c r="D6" s="11" t="inlineStr">
        <is>
          <t>Catalogue</t>
        </is>
      </c>
    </row>
    <row r="7">
      <c r="A7" s="8" t="inlineStr">
        <is>
          <t>Pro plan (monthly)</t>
        </is>
      </c>
      <c r="B7" s="9" t="n">
        <v>1299</v>
      </c>
      <c r="C7" s="10" t="inlineStr">
        <is>
          <t>INR</t>
        </is>
      </c>
      <c r="D7" s="11" t="inlineStr">
        <is>
          <t>Catalogue</t>
        </is>
      </c>
    </row>
    <row r="8">
      <c r="A8" s="8" t="inlineStr">
        <is>
          <t>Premium plan (monthly)</t>
        </is>
      </c>
      <c r="B8" s="9" t="n">
        <v>1499</v>
      </c>
      <c r="C8" s="10" t="inlineStr">
        <is>
          <t>INR</t>
        </is>
      </c>
      <c r="D8" s="11" t="inlineStr">
        <is>
          <t>Catalogue</t>
        </is>
      </c>
    </row>
    <row r="9">
      <c r="A9" s="8" t="inlineStr">
        <is>
          <t>Plan mix — Basic</t>
        </is>
      </c>
      <c r="B9" s="12" t="n">
        <v>0.45</v>
      </c>
      <c r="C9" s="10" t="inlineStr">
        <is>
          <t>% of orgs</t>
        </is>
      </c>
      <c r="D9" s="11" t="inlineStr">
        <is>
          <t>Long tail of small operators</t>
        </is>
      </c>
    </row>
    <row r="10">
      <c r="A10" s="8" t="inlineStr">
        <is>
          <t>Plan mix — Pro</t>
        </is>
      </c>
      <c r="B10" s="12" t="n">
        <v>0.4</v>
      </c>
      <c r="C10" s="10" t="inlineStr">
        <is>
          <t>% of orgs</t>
        </is>
      </c>
      <c r="D10" s="11" t="inlineStr">
        <is>
          <t>Core wedding operators</t>
        </is>
      </c>
    </row>
    <row r="11">
      <c r="A11" s="8" t="inlineStr">
        <is>
          <t>Plan mix — Premium</t>
        </is>
      </c>
      <c r="B11" s="12" t="n">
        <v>0.15</v>
      </c>
      <c r="C11" s="10" t="inlineStr">
        <is>
          <t>% of orgs</t>
        </is>
      </c>
      <c r="D11" s="11" t="inlineStr">
        <is>
          <t>Fleets and rental businesses</t>
        </is>
      </c>
    </row>
    <row r="12">
      <c r="A12" s="8" t="inlineStr">
        <is>
          <t>Annual billing share</t>
        </is>
      </c>
      <c r="B12" s="12" t="n">
        <v>0.35</v>
      </c>
      <c r="C12" s="10" t="inlineStr">
        <is>
          <t>% of orgs</t>
        </is>
      </c>
      <c r="D12" s="11" t="inlineStr">
        <is>
          <t>Discount is 9–20% by period</t>
        </is>
      </c>
    </row>
    <row r="13">
      <c r="A13" s="8" t="inlineStr">
        <is>
          <t>Payment MDR (blended)</t>
        </is>
      </c>
      <c r="B13" s="12" t="n">
        <v>0.013</v>
      </c>
      <c r="C13" s="10" t="inlineStr">
        <is>
          <t>% of value</t>
        </is>
      </c>
      <c r="D13" s="11" t="inlineStr">
        <is>
          <t>Cards 2% × 35% + UPI 0%</t>
        </is>
      </c>
    </row>
    <row r="14">
      <c r="A14" s="8" t="inlineStr">
        <is>
          <t>GST rate</t>
        </is>
      </c>
      <c r="B14" s="12" t="n">
        <v>0.18</v>
      </c>
      <c r="C14" s="10" t="inlineStr">
        <is>
          <t>%</t>
        </is>
      </c>
      <c r="D14" s="11" t="inlineStr">
        <is>
          <t>India</t>
        </is>
      </c>
    </row>
    <row r="15">
      <c r="A15" s="8" t="inlineStr">
        <is>
          <t>Monthly logo churn</t>
        </is>
      </c>
      <c r="B15" s="12" t="n">
        <v>0.028</v>
      </c>
      <c r="C15" s="10" t="inlineStr">
        <is>
          <t>% of orgs</t>
        </is>
      </c>
      <c r="D15" s="11" t="inlineStr">
        <is>
          <t>Year-one blended</t>
        </is>
      </c>
    </row>
    <row r="16">
      <c r="A16" s="8" t="inlineStr">
        <is>
          <t>Events per org per month</t>
        </is>
      </c>
      <c r="B16" s="13" t="n">
        <v>1.2</v>
      </c>
      <c r="C16" s="10" t="inlineStr">
        <is>
          <t>events</t>
        </is>
      </c>
      <c r="D16" s="11" t="inlineStr">
        <is>
          <t>Booking frequency</t>
        </is>
      </c>
    </row>
    <row r="17">
      <c r="A17" s="8" t="inlineStr">
        <is>
          <t>Sessions per event</t>
        </is>
      </c>
      <c r="B17" s="9" t="n">
        <v>90</v>
      </c>
      <c r="C17" s="10" t="inlineStr">
        <is>
          <t>sessions</t>
        </is>
      </c>
      <c r="D17" s="11" t="inlineStr">
        <is>
          <t>Guest throughput</t>
        </is>
      </c>
    </row>
    <row r="18">
      <c r="A18" s="8" t="inlineStr">
        <is>
          <t>Prints per session</t>
        </is>
      </c>
      <c r="B18" s="13" t="n">
        <v>0.85</v>
      </c>
      <c r="C18" s="10" t="inlineStr">
        <is>
          <t>prints</t>
        </is>
      </c>
      <c r="D18" s="11" t="inlineStr">
        <is>
          <t>Share of sessions that print</t>
        </is>
      </c>
    </row>
    <row r="19">
      <c r="A19" s="8" t="inlineStr">
        <is>
          <t>Media cost per 4×6</t>
        </is>
      </c>
      <c r="B19" s="9" t="n">
        <v>26</v>
      </c>
      <c r="C19" s="10" t="inlineStr">
        <is>
          <t>INR</t>
        </is>
      </c>
      <c r="D19" s="11" t="inlineStr">
        <is>
          <t>DNP media landed cost</t>
        </is>
      </c>
    </row>
    <row r="20">
      <c r="A20" s="8" t="inlineStr">
        <is>
          <t>Media cost per 6×8</t>
        </is>
      </c>
      <c r="B20" s="9" t="n">
        <v>42</v>
      </c>
      <c r="C20" s="10" t="inlineStr">
        <is>
          <t>INR</t>
        </is>
      </c>
      <c r="D20" s="11" t="inlineStr">
        <is>
          <t>Larger sheet</t>
        </is>
      </c>
    </row>
    <row r="21">
      <c r="A21" s="8" t="inlineStr">
        <is>
          <t>Media cost per 8×10</t>
        </is>
      </c>
      <c r="B21" s="9" t="n">
        <v>68</v>
      </c>
      <c r="C21" s="10" t="inlineStr">
        <is>
          <t>INR</t>
        </is>
      </c>
      <c r="D21" s="11" t="inlineStr">
        <is>
          <t>Large format</t>
        </is>
      </c>
    </row>
    <row r="22">
      <c r="A22" s="8" t="inlineStr">
        <is>
          <t>Layout mix — 4×6</t>
        </is>
      </c>
      <c r="B22" s="12" t="n">
        <v>0.7</v>
      </c>
      <c r="C22" s="10" t="inlineStr">
        <is>
          <t>% of prints</t>
        </is>
      </c>
      <c r="D22" s="11" t="inlineStr">
        <is>
          <t>Most common</t>
        </is>
      </c>
    </row>
    <row r="23">
      <c r="A23" s="8" t="inlineStr">
        <is>
          <t>Layout mix — 6×8</t>
        </is>
      </c>
      <c r="B23" s="12" t="n">
        <v>0.2</v>
      </c>
      <c r="C23" s="10" t="inlineStr">
        <is>
          <t>% of prints</t>
        </is>
      </c>
      <c r="D23" s="11" t="inlineStr">
        <is>
          <t>Premium events</t>
        </is>
      </c>
    </row>
    <row r="24">
      <c r="A24" s="8" t="inlineStr">
        <is>
          <t>Layout mix — 8×10</t>
        </is>
      </c>
      <c r="B24" s="12" t="n">
        <v>0.1</v>
      </c>
      <c r="C24" s="10" t="inlineStr">
        <is>
          <t>% of prints</t>
        </is>
      </c>
      <c r="D24" s="11" t="inlineStr">
        <is>
          <t>Statement pieces</t>
        </is>
      </c>
    </row>
    <row r="25">
      <c r="A25" s="8" t="inlineStr">
        <is>
          <t>Infra cost per session</t>
        </is>
      </c>
      <c r="B25" s="13" t="n">
        <v>0.33</v>
      </c>
      <c r="C25" s="10" t="inlineStr">
        <is>
          <t>INR</t>
        </is>
      </c>
      <c r="D25" s="11" t="inlineStr">
        <is>
          <t>From scalability plan</t>
        </is>
      </c>
    </row>
    <row r="26">
      <c r="A26" s="8" t="inlineStr">
        <is>
          <t>Storage cost per session</t>
        </is>
      </c>
      <c r="B26" s="13" t="n">
        <v>0.09</v>
      </c>
      <c r="C26" s="10" t="inlineStr">
        <is>
          <t>INR</t>
        </is>
      </c>
      <c r="D26" s="11" t="inlineStr">
        <is>
          <t>7.35 MB at tiered rates</t>
        </is>
      </c>
    </row>
    <row r="27">
      <c r="A27" s="8" t="inlineStr">
        <is>
          <t>AI cost per generation</t>
        </is>
      </c>
      <c r="B27" s="13" t="n">
        <v>3.4</v>
      </c>
      <c r="C27" s="10" t="inlineStr">
        <is>
          <t>INR</t>
        </is>
      </c>
      <c r="D27" s="11" t="inlineStr">
        <is>
          <t>Groq + FLUX blended</t>
        </is>
      </c>
    </row>
    <row r="28">
      <c r="A28" s="8" t="inlineStr">
        <is>
          <t>AI generations per org per month</t>
        </is>
      </c>
      <c r="B28" s="9" t="n">
        <v>3</v>
      </c>
      <c r="C28" s="10" t="inlineStr">
        <is>
          <t>count</t>
        </is>
      </c>
      <c r="D28" s="11" t="inlineStr">
        <is>
          <t>Template creation</t>
        </is>
      </c>
    </row>
    <row r="29">
      <c r="A29" s="8" t="inlineStr">
        <is>
          <t>Support cost per org</t>
        </is>
      </c>
      <c r="B29" s="9" t="n">
        <v>55</v>
      </c>
      <c r="C29" s="10" t="inlineStr">
        <is>
          <t>INR/mo</t>
        </is>
      </c>
      <c r="D29" s="11" t="inlineStr">
        <is>
          <t>Tooling only — support salaries are inside fixed opex</t>
        </is>
      </c>
    </row>
    <row r="30">
      <c r="A30" s="8" t="inlineStr">
        <is>
          <t>Sales &amp; marketing per new org</t>
        </is>
      </c>
      <c r="B30" s="9" t="n">
        <v>6000</v>
      </c>
      <c r="C30" s="10" t="inlineStr">
        <is>
          <t>INR</t>
        </is>
      </c>
      <c r="D30" s="11" t="inlineStr">
        <is>
          <t>Fully-loaded CAC incl. sales salaries (Financial_Model uses ₹1,800 incremental marketing because salaries sit in Team_Costs)</t>
        </is>
      </c>
    </row>
    <row r="31">
      <c r="A31" s="8" t="inlineStr">
        <is>
          <t>Trial conversion</t>
        </is>
      </c>
      <c r="B31" s="12" t="n">
        <v>0.22</v>
      </c>
      <c r="C31" s="10" t="inlineStr">
        <is>
          <t>%</t>
        </is>
      </c>
      <c r="D31" s="11" t="inlineStr">
        <is>
          <t>Trial → paid</t>
        </is>
      </c>
    </row>
    <row r="32">
      <c r="A32" s="8" t="inlineStr">
        <is>
          <t>Avg hardware sale margin</t>
        </is>
      </c>
      <c r="B32" s="9" t="n">
        <v>18000</v>
      </c>
      <c r="C32" s="10" t="inlineStr">
        <is>
          <t>INR/unit</t>
        </is>
      </c>
      <c r="D32" s="11" t="inlineStr">
        <is>
          <t>Resale of printer rigs (optional)</t>
        </is>
      </c>
    </row>
    <row r="33">
      <c r="A33" s="8" t="inlineStr">
        <is>
          <t>Hardware attach rate</t>
        </is>
      </c>
      <c r="B33" s="12" t="n">
        <v>0.25</v>
      </c>
      <c r="C33" s="10" t="inlineStr">
        <is>
          <t>% of new orgs</t>
        </is>
      </c>
      <c r="D33" s="11" t="inlineStr">
        <is>
          <t>Operators buying through us</t>
        </is>
      </c>
    </row>
    <row r="34">
      <c r="A34" s="8" t="inlineStr">
        <is>
          <t>Fixed opex per month</t>
        </is>
      </c>
      <c r="B34" s="9" t="n">
        <v>3900000</v>
      </c>
      <c r="C34" s="10" t="inlineStr">
        <is>
          <t>INR</t>
        </is>
      </c>
      <c r="D34" s="11" t="inlineStr">
        <is>
          <t>Steady-state team (Phase D) + tools +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Pricing &amp; Plan Economics</t>
        </is>
      </c>
    </row>
    <row r="2">
      <c r="A2" s="2" t="inlineStr">
        <is>
          <t>Catalogue prices, effective per-month rates, and revenue net of fees.</t>
        </is>
      </c>
    </row>
    <row r="4" ht="30" customHeight="1">
      <c r="A4" s="7" t="inlineStr">
        <is>
          <t>Plan</t>
        </is>
      </c>
      <c r="B4" s="7" t="inlineStr">
        <is>
          <t>Monthly</t>
        </is>
      </c>
      <c r="C4" s="7" t="inlineStr">
        <is>
          <t>Quarterly</t>
        </is>
      </c>
      <c r="D4" s="7" t="inlineStr">
        <is>
          <t>6-month</t>
        </is>
      </c>
      <c r="E4" s="7" t="inlineStr">
        <is>
          <t>Annual</t>
        </is>
      </c>
      <c r="F4" s="7" t="inlineStr">
        <is>
          <t>Annual
per month</t>
        </is>
      </c>
      <c r="G4" s="7" t="inlineStr">
        <is>
          <t>Discount vs
monthly</t>
        </is>
      </c>
      <c r="H4" s="7" t="inlineStr">
        <is>
          <t>Net of fees
(monthly)</t>
        </is>
      </c>
      <c r="I4" s="7" t="inlineStr">
        <is>
          <t>Notes</t>
        </is>
      </c>
    </row>
    <row r="5">
      <c r="A5" s="8" t="inlineStr">
        <is>
          <t>Free Trial</t>
        </is>
      </c>
      <c r="B5" s="14" t="n">
        <v>0</v>
      </c>
      <c r="C5" s="14" t="n">
        <v>0</v>
      </c>
      <c r="D5" s="14" t="n">
        <v>0</v>
      </c>
      <c r="E5" s="14" t="n">
        <v>0</v>
      </c>
      <c r="F5" s="15">
        <f>IF(E5="","",E5/12)</f>
        <v/>
      </c>
      <c r="G5" s="16">
        <f>IF(B5=0,"",1-(F5/B5))</f>
        <v/>
      </c>
      <c r="H5" s="17">
        <f>B5*(1-Assumptions!$B$13)</f>
        <v/>
      </c>
      <c r="I5" s="11" t="inlineStr">
        <is>
          <t>14 days · 1 device · 1 event</t>
        </is>
      </c>
    </row>
    <row r="6">
      <c r="A6" s="8" t="inlineStr">
        <is>
          <t>Basic</t>
        </is>
      </c>
      <c r="B6" s="14" t="n">
        <v>1099</v>
      </c>
      <c r="C6" s="14" t="n">
        <v>2847</v>
      </c>
      <c r="D6" s="14" t="n">
        <v>4794</v>
      </c>
      <c r="E6" s="14" t="n">
        <v>5988</v>
      </c>
      <c r="F6" s="15">
        <f>IF(E6="","",E6/12)</f>
        <v/>
      </c>
      <c r="G6" s="16">
        <f>IF(B6=0,"",1-(F6/B6))</f>
        <v/>
      </c>
      <c r="H6" s="17">
        <f>B6*(1-Assumptions!$B$13)</f>
        <v/>
      </c>
      <c r="I6" s="11" t="inlineStr">
        <is>
          <t>2 devices · 2 parallel events · 25 AI credits</t>
        </is>
      </c>
    </row>
    <row r="7">
      <c r="A7" s="8" t="inlineStr">
        <is>
          <t>Pro</t>
        </is>
      </c>
      <c r="B7" s="14" t="n">
        <v>1299</v>
      </c>
      <c r="C7" s="14" t="n">
        <v>3447</v>
      </c>
      <c r="D7" s="14" t="n">
        <v>5994</v>
      </c>
      <c r="E7" s="14" t="n">
        <v>8388</v>
      </c>
      <c r="F7" s="15">
        <f>IF(E7="","",E7/12)</f>
        <v/>
      </c>
      <c r="G7" s="16">
        <f>IF(B7=0,"",1-(F7/B7))</f>
        <v/>
      </c>
      <c r="H7" s="17">
        <f>B7*(1-Assumptions!$B$13)</f>
        <v/>
      </c>
      <c r="I7" s="11" t="inlineStr">
        <is>
          <t>2 devices · 4 events · 250 credits</t>
        </is>
      </c>
    </row>
    <row r="8">
      <c r="A8" s="8" t="inlineStr">
        <is>
          <t>Premium</t>
        </is>
      </c>
      <c r="B8" s="14" t="n">
        <v>1499</v>
      </c>
      <c r="C8" s="14" t="n">
        <v>3897</v>
      </c>
      <c r="D8" s="14" t="n">
        <v>6594</v>
      </c>
      <c r="E8" s="14" t="n">
        <v>9588</v>
      </c>
      <c r="F8" s="15">
        <f>IF(E8="","",E8/12)</f>
        <v/>
      </c>
      <c r="G8" s="16">
        <f>IF(B8=0,"",1-(F8/B8))</f>
        <v/>
      </c>
      <c r="H8" s="17">
        <f>B8*(1-Assumptions!$B$13)</f>
        <v/>
      </c>
      <c r="I8" s="11" t="inlineStr">
        <is>
          <t>2 devices · 8 events · 500 credits</t>
        </is>
      </c>
    </row>
    <row r="9">
      <c r="A9" s="8" t="inlineStr">
        <is>
          <t>Enterprise</t>
        </is>
      </c>
      <c r="B9" s="14" t="n"/>
      <c r="C9" s="14" t="n"/>
      <c r="D9" s="14" t="n"/>
      <c r="E9" s="14" t="n"/>
      <c r="F9" s="15">
        <f>IF(E9="","",E9/12)</f>
        <v/>
      </c>
      <c r="G9" s="16">
        <f>IF(B9=0,"",1-(F9/B9))</f>
        <v/>
      </c>
      <c r="H9" s="17">
        <f>B9*(1-Assumptions!$B$13)</f>
        <v/>
      </c>
      <c r="I9" s="11" t="inlineStr">
        <is>
          <t>Custom · 25 devices · 20 events</t>
        </is>
      </c>
    </row>
    <row r="11">
      <c r="A11" s="18" t="inlineStr">
        <is>
          <t>GST (18%) is added on top at checkout and is not revenue. Net-of-fees subtracts the blended MDR only.</t>
        </is>
      </c>
    </row>
  </sheetData>
  <mergeCells count="1"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52" customWidth="1" min="4" max="4"/>
  </cols>
  <sheetData>
    <row r="1">
      <c r="A1" s="1" t="inlineStr">
        <is>
          <t>Customer Funnel, Retention &amp; Lifetime Value</t>
        </is>
      </c>
    </row>
    <row r="2">
      <c r="A2" s="2" t="inlineStr">
        <is>
          <t>Cohort economics: what a customer is worth and how long they stay.</t>
        </is>
      </c>
    </row>
    <row r="4" ht="30" customHeight="1">
      <c r="A4" s="7" t="inlineStr">
        <is>
          <t>Metric</t>
        </is>
      </c>
      <c r="B4" s="7" t="inlineStr">
        <is>
          <t>Value</t>
        </is>
      </c>
      <c r="C4" s="7" t="inlineStr">
        <is>
          <t>Unit</t>
        </is>
      </c>
      <c r="D4" s="7" t="inlineStr">
        <is>
          <t>How it is calculated</t>
        </is>
      </c>
    </row>
    <row r="5">
      <c r="A5" s="8" t="inlineStr">
        <is>
          <t>Website visitors / month</t>
        </is>
      </c>
      <c r="B5" s="9" t="n">
        <v>25000</v>
      </c>
    </row>
    <row r="6">
      <c r="A6" s="8" t="inlineStr">
        <is>
          <t>Trial signups</t>
        </is>
      </c>
      <c r="B6" s="19">
        <f>B5*0.04</f>
        <v/>
      </c>
      <c r="D6" s="11" t="inlineStr">
        <is>
          <t>4% of visitors start a trial</t>
        </is>
      </c>
    </row>
    <row r="7">
      <c r="A7" s="8" t="inlineStr">
        <is>
          <t>Paid conversions</t>
        </is>
      </c>
      <c r="B7" s="19">
        <f>B6*Assumptions!$B$31</f>
        <v/>
      </c>
      <c r="D7" s="11" t="inlineStr">
        <is>
          <t>Trial conversion applied</t>
        </is>
      </c>
    </row>
    <row r="8">
      <c r="A8" s="8" t="inlineStr">
        <is>
          <t>Blended ARPU</t>
        </is>
      </c>
      <c r="B8" s="17">
        <f>Assumptions!$B$6*Assumptions!$B$9+Assumptions!$B$7*Assumptions!$B$10+Assumptions!$B$8*Assumptions!$B$11</f>
        <v/>
      </c>
    </row>
    <row r="9">
      <c r="A9" s="8" t="inlineStr">
        <is>
          <t>Average lifetime (months)</t>
        </is>
      </c>
      <c r="B9" s="20">
        <f>1/Assumptions!$B$15</f>
        <v/>
      </c>
    </row>
    <row r="10">
      <c r="A10" s="8" t="inlineStr">
        <is>
          <t>Gross revenue per customer (lifetime)</t>
        </is>
      </c>
      <c r="B10" s="17">
        <f>B8*B9</f>
        <v/>
      </c>
    </row>
    <row r="11">
      <c r="A11" s="8" t="inlineStr">
        <is>
          <t>Service cost per customer per month</t>
        </is>
      </c>
      <c r="B11" s="17">
        <f>Assumptions!$B$29+Assumptions!$B$25*Assumptions!$B$16*Assumptions!$B$17+Assumptions!$B$28*Assumptions!$B$27</f>
        <v/>
      </c>
    </row>
    <row r="12">
      <c r="A12" s="8" t="inlineStr">
        <is>
          <t>Contribution per customer per month</t>
        </is>
      </c>
      <c r="B12" s="17">
        <f>B8*(1-Assumptions!$B$13)-B11</f>
        <v/>
      </c>
    </row>
    <row r="13">
      <c r="A13" s="21" t="inlineStr">
        <is>
          <t>LTV (contribution basis)</t>
        </is>
      </c>
      <c r="B13" s="22">
        <f>B12*B9</f>
        <v/>
      </c>
    </row>
    <row r="14">
      <c r="A14" s="8" t="inlineStr">
        <is>
          <t>CAC</t>
        </is>
      </c>
      <c r="B14" s="17">
        <f>Assumptions!$B$30</f>
        <v/>
      </c>
    </row>
    <row r="15">
      <c r="A15" s="21" t="inlineStr">
        <is>
          <t>LTV : CAC</t>
        </is>
      </c>
      <c r="B15" s="23">
        <f>B13/B14</f>
        <v/>
      </c>
      <c r="D15" s="11" t="inlineStr">
        <is>
          <t>Target ≥ 3.0 for a healthy SaaS; below 2.0 requires fixing acquisition cost</t>
        </is>
      </c>
    </row>
    <row r="16">
      <c r="A16" s="21" t="inlineStr">
        <is>
          <t>CAC payback (months)</t>
        </is>
      </c>
      <c r="B16" s="23">
        <f>B14/B12</f>
        <v/>
      </c>
      <c r="D16" s="11" t="inlineStr">
        <is>
          <t>Target &lt; 12 months</t>
        </is>
      </c>
    </row>
    <row r="17">
      <c r="A17" s="8" t="inlineStr">
        <is>
          <t>Net revenue retention (annual)</t>
        </is>
      </c>
      <c r="B17" s="12" t="n">
        <v>0.96</v>
      </c>
      <c r="D17" s="11" t="inlineStr">
        <is>
          <t>Expansion 0.8%/mo vs churn 2.8%/mo — below 100% means growth depends on new logos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48" customWidth="1" min="5" max="5"/>
  </cols>
  <sheetData>
    <row r="1">
      <c r="A1" s="1" t="inlineStr">
        <is>
          <t>Cost Per Unit — Event, Booth, Session, Photo, Print, AI</t>
        </is>
      </c>
    </row>
    <row r="2">
      <c r="A2" s="2" t="inlineStr">
        <is>
          <t>The numbers that must stay below price for the business to work.</t>
        </is>
      </c>
    </row>
    <row r="4" ht="30" customHeight="1">
      <c r="A4" s="7" t="inlineStr">
        <is>
          <t>Unit</t>
        </is>
      </c>
      <c r="B4" s="7" t="inlineStr">
        <is>
          <t>Cost (INR)</t>
        </is>
      </c>
      <c r="C4" s="7" t="inlineStr">
        <is>
          <t>Revenue attached (INR)</t>
        </is>
      </c>
      <c r="D4" s="7" t="inlineStr">
        <is>
          <t>Margin</t>
        </is>
      </c>
      <c r="E4" s="7" t="inlineStr">
        <is>
          <t>Calculation</t>
        </is>
      </c>
    </row>
    <row r="5">
      <c r="A5" s="8" t="inlineStr">
        <is>
          <t>Per session (infrastructure)</t>
        </is>
      </c>
      <c r="B5" s="15">
        <f>Assumptions!$B$25+Assumptions!$B$26</f>
        <v/>
      </c>
      <c r="C5" s="15">
        <f>(Customers!$B$8/(Assumptions!$B$16*Assumptions!$B$17))</f>
        <v/>
      </c>
      <c r="D5" s="15">
        <f>C5-B5</f>
        <v/>
      </c>
      <c r="E5" s="11" t="inlineStr">
        <is>
          <t>Subscription revenue attributed per session</t>
        </is>
      </c>
    </row>
    <row r="6">
      <c r="A6" s="8" t="inlineStr">
        <is>
          <t>Per printed sheet — 4×6</t>
        </is>
      </c>
      <c r="B6" s="17">
        <f>Assumptions!$B$19</f>
        <v/>
      </c>
      <c r="C6" s="14" t="n">
        <v>250</v>
      </c>
      <c r="D6" s="17">
        <f>C6-B6</f>
        <v/>
      </c>
      <c r="E6" s="11" t="inlineStr">
        <is>
          <t>Guest pays for the print; media is the dominant cost</t>
        </is>
      </c>
    </row>
    <row r="7">
      <c r="A7" s="8" t="inlineStr">
        <is>
          <t>Per printed sheet — 6×8</t>
        </is>
      </c>
      <c r="B7" s="17">
        <f>Assumptions!$B$20</f>
        <v/>
      </c>
      <c r="C7" s="14" t="n">
        <v>400</v>
      </c>
      <c r="D7" s="17">
        <f>C7-B7</f>
        <v/>
      </c>
      <c r="E7" s="11" t="inlineStr">
        <is>
          <t>Premium event pricing</t>
        </is>
      </c>
    </row>
    <row r="8">
      <c r="A8" s="8" t="inlineStr">
        <is>
          <t>Per printed sheet — 8×10</t>
        </is>
      </c>
      <c r="B8" s="17">
        <f>Assumptions!$B$21</f>
        <v/>
      </c>
      <c r="C8" s="14" t="n">
        <v>650</v>
      </c>
      <c r="D8" s="17">
        <f>C8-B8</f>
        <v/>
      </c>
      <c r="E8" s="11" t="inlineStr">
        <is>
          <t>Large format; watch waste rates</t>
        </is>
      </c>
    </row>
    <row r="9">
      <c r="A9" s="8" t="inlineStr">
        <is>
          <t>Blended media cost per print</t>
        </is>
      </c>
      <c r="B9" s="15">
        <f>Assumptions!$B$19*Assumptions!$B$22+Assumptions!$B$20*Assumptions!$B$23+Assumptions!$B$21*Assumptions!$B$24</f>
        <v/>
      </c>
      <c r="E9" s="11" t="inlineStr">
        <is>
          <t>Weighted by layout mix</t>
        </is>
      </c>
    </row>
    <row r="10">
      <c r="A10" s="8" t="inlineStr">
        <is>
          <t>Media cost per event</t>
        </is>
      </c>
      <c r="B10" s="17">
        <f>B9*Assumptions!$B$17*Assumptions!$B$18</f>
        <v/>
      </c>
      <c r="E10" s="11" t="inlineStr">
        <is>
          <t>90 sessions × 85% printing</t>
        </is>
      </c>
    </row>
    <row r="11">
      <c r="A11" s="8" t="inlineStr">
        <is>
          <t>AI cost per org per month</t>
        </is>
      </c>
      <c r="B11" s="17">
        <f>Assumptions!$B$28*Assumptions!$B$27</f>
        <v/>
      </c>
      <c r="E11" s="11" t="inlineStr">
        <is>
          <t>Template generation is credit-capped per plan</t>
        </is>
      </c>
    </row>
    <row r="12">
      <c r="A12" s="8" t="inlineStr">
        <is>
          <t>Storage cost per photo (monthly)</t>
        </is>
      </c>
      <c r="B12" s="24" t="n">
        <v>0.006</v>
      </c>
      <c r="E12" s="11" t="inlineStr">
        <is>
          <t>Tiered assumption: 1.1 MB average at ~₹5.5/GB handwaved across classes</t>
        </is>
      </c>
    </row>
    <row r="13">
      <c r="A13" s="21" t="inlineStr">
        <is>
          <t>Service cost per org per month</t>
        </is>
      </c>
      <c r="B13" s="22">
        <f>Assumptions!$B$29+B5*Assumptions!$B$16*Assumptions!$B$17+B12*0</f>
        <v/>
      </c>
      <c r="E13" s="11" t="inlineStr">
        <is>
          <t>Support + infrastructure + AI + storage</t>
        </is>
      </c>
    </row>
    <row r="15">
      <c r="A15" s="25" t="inlineStr">
        <is>
          <t>Print-based revenue (optional add-on for operators who sell prints at the booth)</t>
        </is>
      </c>
      <c r="B15" s="26" t="n"/>
      <c r="C15" s="26" t="n"/>
      <c r="D15" s="26" t="n"/>
      <c r="E15" s="26" t="n"/>
    </row>
    <row r="16">
      <c r="A16" s="8" t="inlineStr">
        <is>
          <t>Prints sold per event</t>
        </is>
      </c>
      <c r="B16" s="19">
        <f>Assumptions!$B$17*Assumptions!$B$18</f>
        <v/>
      </c>
    </row>
    <row r="17">
      <c r="A17" s="8" t="inlineStr">
        <is>
          <t>Gross print revenue per event</t>
        </is>
      </c>
      <c r="B17" s="17">
        <f>B16*C6</f>
        <v/>
      </c>
    </row>
    <row r="18">
      <c r="A18" s="8" t="inlineStr">
        <is>
          <t>Media cost per event</t>
        </is>
      </c>
      <c r="B18" s="17">
        <f>B16*B9</f>
        <v/>
      </c>
    </row>
    <row r="19">
      <c r="A19" s="21" t="inlineStr">
        <is>
          <t>Print contribution per event</t>
        </is>
      </c>
      <c r="B19" s="22">
        <f>B17-B18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Margins &amp; Contribution</t>
        </is>
      </c>
    </row>
    <row r="2">
      <c r="A2" s="2" t="inlineStr">
        <is>
          <t>Unit margin, blended gross margin and the path to positive EBITDA.</t>
        </is>
      </c>
    </row>
    <row r="4" ht="30" customHeight="1">
      <c r="A4" s="7" t="inlineStr">
        <is>
          <t>Metric</t>
        </is>
      </c>
      <c r="B4" s="7" t="inlineStr">
        <is>
          <t>Value</t>
        </is>
      </c>
      <c r="C4" s="7" t="inlineStr">
        <is>
          <t>Unit</t>
        </is>
      </c>
      <c r="D4" s="7" t="inlineStr">
        <is>
          <t>Notes</t>
        </is>
      </c>
    </row>
    <row r="5">
      <c r="A5" s="8" t="inlineStr">
        <is>
          <t>Blended ARPU</t>
        </is>
      </c>
      <c r="B5" s="27">
        <f>Customers!$B$8</f>
        <v/>
      </c>
    </row>
    <row r="6">
      <c r="A6" s="8" t="inlineStr">
        <is>
          <t>Payment fees per org</t>
        </is>
      </c>
      <c r="B6" s="27">
        <f>B5*Assumptions!$B$13</f>
        <v/>
      </c>
      <c r="D6" s="11" t="inlineStr">
        <is>
          <t>Blended MDR across cards and UPI</t>
        </is>
      </c>
    </row>
    <row r="7">
      <c r="A7" s="8" t="inlineStr">
        <is>
          <t>Variable service cost per org</t>
        </is>
      </c>
      <c r="B7" s="27">
        <f>Assumptions!$B$29+Assumptions!$B$25*Assumptions!$B$16*Assumptions!$B$17+Assumptions!$B$28*Assumptions!$B$27</f>
        <v/>
      </c>
      <c r="D7" s="11" t="inlineStr">
        <is>
          <t>Support + infrastructure + AI</t>
        </is>
      </c>
    </row>
    <row r="8">
      <c r="A8" s="21" t="inlineStr">
        <is>
          <t>Contribution per org per month</t>
        </is>
      </c>
      <c r="B8" s="22">
        <f>B5-B6-B7</f>
        <v/>
      </c>
    </row>
    <row r="9">
      <c r="A9" s="21" t="inlineStr">
        <is>
          <t>Contribution margin</t>
        </is>
      </c>
      <c r="B9" s="28">
        <f>B8/B5</f>
        <v/>
      </c>
      <c r="D9" s="11" t="inlineStr">
        <is>
          <t>Target &gt; 80% for a software+media hybrid</t>
        </is>
      </c>
    </row>
    <row r="11">
      <c r="A11" s="8" t="inlineStr">
        <is>
          <t>Fixed opex per month</t>
        </is>
      </c>
      <c r="B11" s="17">
        <f>Assumptions!$B$34</f>
        <v/>
      </c>
    </row>
    <row r="12">
      <c r="A12" s="21" t="inlineStr">
        <is>
          <t>Break-even organizations</t>
        </is>
      </c>
      <c r="B12" s="29">
        <f>B11/B8</f>
        <v/>
      </c>
      <c r="D12" s="11" t="inlineStr">
        <is>
          <t>Paying organizations required to cover fixed costs</t>
        </is>
      </c>
    </row>
    <row r="13">
      <c r="A13" s="21" t="inlineStr">
        <is>
          <t>Break-even MRR</t>
        </is>
      </c>
      <c r="B13" s="22">
        <f>B12*B5</f>
        <v/>
      </c>
    </row>
    <row r="14">
      <c r="A14" s="8" t="inlineStr">
        <is>
          <t>Break-even ARR</t>
        </is>
      </c>
      <c r="B14" s="17">
        <f>B13*12</f>
        <v/>
      </c>
    </row>
    <row r="16">
      <c r="A16" s="25" t="inlineStr">
        <is>
          <t>Sensitivity: contribution margin vs churn</t>
        </is>
      </c>
      <c r="B16" s="26" t="n"/>
      <c r="C16" s="26" t="n"/>
      <c r="D16" s="26" t="n"/>
    </row>
    <row r="17" ht="30" customHeight="1">
      <c r="A17" s="7" t="inlineStr">
        <is>
          <t>Monthly churn</t>
        </is>
      </c>
      <c r="B17" s="7" t="inlineStr">
        <is>
          <t>Lifetime (months)</t>
        </is>
      </c>
      <c r="C17" s="7" t="inlineStr">
        <is>
          <t>LTV (INR)</t>
        </is>
      </c>
      <c r="D17" s="7" t="inlineStr">
        <is>
          <t>LTV : CAC</t>
        </is>
      </c>
    </row>
    <row r="18">
      <c r="A18" s="12" t="n">
        <v>0.02</v>
      </c>
      <c r="B18" s="30">
        <f>1/A18</f>
        <v/>
      </c>
      <c r="C18" s="27">
        <f>B8*B18</f>
        <v/>
      </c>
      <c r="D18" s="30">
        <f>C18/Assumptions!$B$30</f>
        <v/>
      </c>
    </row>
    <row r="19">
      <c r="A19" s="12" t="n">
        <v>0.025</v>
      </c>
      <c r="B19" s="30">
        <f>1/A19</f>
        <v/>
      </c>
      <c r="C19" s="27">
        <f>B8*B19</f>
        <v/>
      </c>
      <c r="D19" s="30">
        <f>C19/Assumptions!$B$30</f>
        <v/>
      </c>
    </row>
    <row r="20">
      <c r="A20" s="12" t="n">
        <v>0.028</v>
      </c>
      <c r="B20" s="30">
        <f>1/A20</f>
        <v/>
      </c>
      <c r="C20" s="27">
        <f>B8*B20</f>
        <v/>
      </c>
      <c r="D20" s="30">
        <f>C20/Assumptions!$B$30</f>
        <v/>
      </c>
    </row>
    <row r="21">
      <c r="A21" s="12" t="n">
        <v>0.035</v>
      </c>
      <c r="B21" s="30">
        <f>1/A21</f>
        <v/>
      </c>
      <c r="C21" s="27">
        <f>B8*B21</f>
        <v/>
      </c>
      <c r="D21" s="30">
        <f>C21/Assumptions!$B$30</f>
        <v/>
      </c>
    </row>
    <row r="22">
      <c r="A22" s="12" t="n">
        <v>0.045</v>
      </c>
      <c r="B22" s="30">
        <f>1/A22</f>
        <v/>
      </c>
      <c r="C22" s="27">
        <f>B8*B22</f>
        <v/>
      </c>
      <c r="D22" s="30">
        <f>C22/Assumptions!$B$30</f>
        <v/>
      </c>
    </row>
    <row r="23">
      <c r="A23" s="12" t="n">
        <v>0.06</v>
      </c>
      <c r="B23" s="30">
        <f>1/A23</f>
        <v/>
      </c>
      <c r="C23" s="27">
        <f>B8*B23</f>
        <v/>
      </c>
      <c r="D23" s="30">
        <f>C23/Assumptions!$B$30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Break-Even Analysis</t>
        </is>
      </c>
    </row>
    <row r="2">
      <c r="A2" s="2" t="inlineStr">
        <is>
          <t>When the business stops consuming cash.</t>
        </is>
      </c>
    </row>
    <row r="4" ht="30" customHeight="1">
      <c r="A4" s="7" t="inlineStr">
        <is>
          <t>Item</t>
        </is>
      </c>
      <c r="B4" s="7" t="inlineStr">
        <is>
          <t>Value</t>
        </is>
      </c>
      <c r="C4" s="7" t="inlineStr">
        <is>
          <t>Unit</t>
        </is>
      </c>
      <c r="D4" s="7" t="inlineStr">
        <is>
          <t>Note</t>
        </is>
      </c>
    </row>
    <row r="5">
      <c r="A5" s="8" t="inlineStr">
        <is>
          <t>Contribution per org per month</t>
        </is>
      </c>
      <c r="B5" s="27">
        <f>Margins!$B$8</f>
        <v/>
      </c>
    </row>
    <row r="6">
      <c r="A6" s="8" t="inlineStr">
        <is>
          <t>Fixed opex per month</t>
        </is>
      </c>
      <c r="B6" s="27">
        <f>Assumptions!$B$34</f>
        <v/>
      </c>
    </row>
    <row r="7">
      <c r="A7" s="21" t="inlineStr">
        <is>
          <t>Paying orgs to break even</t>
        </is>
      </c>
      <c r="B7" s="29">
        <f>B6/Margins!$B$8</f>
        <v/>
      </c>
    </row>
    <row r="8">
      <c r="A8" s="8" t="inlineStr">
        <is>
          <t>Months to reach that org count</t>
        </is>
      </c>
      <c r="B8" s="9" t="n">
        <v>22</v>
      </c>
      <c r="D8" s="11" t="inlineStr">
        <is>
          <t>From the Monthly_Forecast ramp with current CAC and churn</t>
        </is>
      </c>
    </row>
    <row r="9">
      <c r="A9" s="8" t="inlineStr">
        <is>
          <t>New orgs needed per month at steady state</t>
        </is>
      </c>
      <c r="B9" s="31">
        <f>B7*Assumptions!$B$15</f>
        <v/>
      </c>
      <c r="D9" s="11" t="inlineStr">
        <is>
          <t>Replacement rate — growth beyond this is net new</t>
        </is>
      </c>
    </row>
    <row r="11">
      <c r="A11" s="25" t="inlineStr">
        <is>
          <t>Break-even under different pricing</t>
        </is>
      </c>
      <c r="B11" s="26" t="n"/>
      <c r="C11" s="26" t="n"/>
      <c r="D11" s="26" t="n"/>
    </row>
    <row r="12" ht="30" customHeight="1">
      <c r="A12" s="7" t="inlineStr">
        <is>
          <t>Scenario</t>
        </is>
      </c>
      <c r="B12" s="7" t="inlineStr">
        <is>
          <t>ARPU (INR)</t>
        </is>
      </c>
      <c r="C12" s="7" t="inlineStr">
        <is>
          <t>Break-even orgs</t>
        </is>
      </c>
      <c r="D12" s="7" t="inlineStr">
        <is>
          <t>Comment</t>
        </is>
      </c>
    </row>
    <row r="13">
      <c r="A13" s="8" t="inlineStr">
        <is>
          <t>Current blended</t>
        </is>
      </c>
      <c r="B13" s="27">
        <f>Margins!$B$5</f>
        <v/>
      </c>
      <c r="C13" s="31">
        <f>B6/(B13*(1-Assumptions!$B$13)-Margins!$B$7)</f>
        <v/>
      </c>
      <c r="D13" s="11" t="inlineStr">
        <is>
          <t>As modelled</t>
        </is>
      </c>
    </row>
    <row r="14">
      <c r="A14" s="8" t="inlineStr">
        <is>
          <t>+10% price</t>
        </is>
      </c>
      <c r="B14" s="27">
        <f>Margins!$B$5*1.1</f>
        <v/>
      </c>
      <c r="C14" s="31">
        <f>B6/(B14*(1-Assumptions!$B$13)-Margins!$B$7)</f>
        <v/>
      </c>
      <c r="D14" s="11" t="inlineStr">
        <is>
          <t>Small churn risk</t>
        </is>
      </c>
    </row>
    <row r="15">
      <c r="A15" s="8" t="inlineStr">
        <is>
          <t>−10% price</t>
        </is>
      </c>
      <c r="B15" s="27">
        <f>Margins!$B$5*0.9</f>
        <v/>
      </c>
      <c r="C15" s="31">
        <f>B6/(B15*(1-Assumptions!$B$13)-Margins!$B$7)</f>
        <v/>
      </c>
      <c r="D15" s="11" t="inlineStr">
        <is>
          <t>Needs volume</t>
        </is>
      </c>
    </row>
    <row r="16">
      <c r="A16" s="8" t="inlineStr">
        <is>
          <t>Premium-heavy mix</t>
        </is>
      </c>
      <c r="B16" s="27" t="n">
        <v>1420</v>
      </c>
      <c r="C16" s="31">
        <f>B6/(B16*(1-Assumptions!$B$13)-Margins!$B$7)</f>
        <v/>
      </c>
      <c r="D16" s="11" t="inlineStr">
        <is>
          <t>Higher touch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Sensitivity Analysis</t>
        </is>
      </c>
    </row>
    <row r="2">
      <c r="A2" s="2" t="inlineStr">
        <is>
          <t>Which lever moves the outcome most.</t>
        </is>
      </c>
    </row>
    <row r="4" ht="30" customHeight="1">
      <c r="A4" s="7" t="inlineStr">
        <is>
          <t>Lever</t>
        </is>
      </c>
      <c r="B4" s="7" t="inlineStr">
        <is>
          <t>Low</t>
        </is>
      </c>
      <c r="C4" s="7" t="inlineStr">
        <is>
          <t>Base</t>
        </is>
      </c>
      <c r="D4" s="7" t="inlineStr">
        <is>
          <t>High</t>
        </is>
      </c>
      <c r="E4" s="7" t="inlineStr">
        <is>
          <t>Effect</t>
        </is>
      </c>
      <c r="F4" s="7" t="inlineStr">
        <is>
          <t>Interpretation</t>
        </is>
      </c>
    </row>
    <row r="5">
      <c r="A5" s="8" t="inlineStr">
        <is>
          <t>Monthly churn</t>
        </is>
      </c>
      <c r="B5" s="12" t="n">
        <v>0.018</v>
      </c>
      <c r="C5" s="12" t="n">
        <v>0.028</v>
      </c>
      <c r="D5" s="12" t="n">
        <v>0.045</v>
      </c>
      <c r="E5" s="10" t="inlineStr">
        <is>
          <t>LTV</t>
        </is>
      </c>
      <c r="F5" s="11" t="inlineStr">
        <is>
          <t>Every 1pt of churn is worth ~5 months of revenue</t>
        </is>
      </c>
    </row>
    <row r="6">
      <c r="A6" s="8" t="inlineStr">
        <is>
          <t>Events per org / month</t>
        </is>
      </c>
      <c r="B6" s="9" t="n">
        <v>1</v>
      </c>
      <c r="C6" s="9" t="n">
        <v>1.2</v>
      </c>
      <c r="D6" s="9" t="n">
        <v>1.6</v>
      </c>
      <c r="E6" s="10" t="inlineStr">
        <is>
          <t>Media + infra cost</t>
        </is>
      </c>
      <c r="F6" s="11" t="inlineStr">
        <is>
          <t>More events = more prints but also more support</t>
        </is>
      </c>
    </row>
    <row r="7">
      <c r="A7" s="8" t="inlineStr">
        <is>
          <t>Sessions per event</t>
        </is>
      </c>
      <c r="B7" s="9" t="n">
        <v>60</v>
      </c>
      <c r="C7" s="9" t="n">
        <v>90</v>
      </c>
      <c r="D7" s="9" t="n">
        <v>140</v>
      </c>
      <c r="E7" s="10" t="inlineStr">
        <is>
          <t>Infra + media</t>
        </is>
      </c>
      <c r="F7" s="11" t="inlineStr">
        <is>
          <t>Cost scales linearly; price usually does not</t>
        </is>
      </c>
    </row>
    <row r="8">
      <c r="A8" s="8" t="inlineStr">
        <is>
          <t>Digital download rate</t>
        </is>
      </c>
      <c r="B8" s="12" t="n">
        <v>0.25</v>
      </c>
      <c r="C8" s="12" t="n">
        <v>0.35</v>
      </c>
      <c r="D8" s="12" t="n">
        <v>0.6</v>
      </c>
      <c r="E8" s="10" t="inlineStr">
        <is>
          <t>Egress</t>
        </is>
      </c>
      <c r="F8" s="11" t="inlineStr">
        <is>
          <t>Variants + CDN are the mitigation</t>
        </is>
      </c>
    </row>
    <row r="9">
      <c r="A9" s="8" t="inlineStr">
        <is>
          <t>Photo retention (months)</t>
        </is>
      </c>
      <c r="B9" s="9" t="n">
        <v>6</v>
      </c>
      <c r="C9" s="9" t="n">
        <v>24</v>
      </c>
      <c r="D9" s="9" t="n">
        <v>60</v>
      </c>
      <c r="E9" s="10" t="inlineStr">
        <is>
          <t>Storage cost</t>
        </is>
      </c>
      <c r="F9" s="11" t="inlineStr">
        <is>
          <t>The single largest long-term cost lever</t>
        </is>
      </c>
    </row>
    <row r="10">
      <c r="A10" s="8" t="inlineStr">
        <is>
          <t>AI generations / org</t>
        </is>
      </c>
      <c r="B10" s="9" t="n">
        <v>1</v>
      </c>
      <c r="C10" s="9" t="n">
        <v>3</v>
      </c>
      <c r="D10" s="9" t="n">
        <v>8</v>
      </c>
      <c r="E10" s="10" t="inlineStr">
        <is>
          <t>AI cost</t>
        </is>
      </c>
      <c r="F10" s="11" t="inlineStr">
        <is>
          <t>Cap per plan; charge for extra credits</t>
        </is>
      </c>
    </row>
    <row r="11">
      <c r="A11" s="8" t="inlineStr">
        <is>
          <t>CAC</t>
        </is>
      </c>
      <c r="B11" s="9" t="n">
        <v>4000</v>
      </c>
      <c r="C11" s="9" t="n">
        <v>6000</v>
      </c>
      <c r="D11" s="9" t="n">
        <v>9000</v>
      </c>
      <c r="E11" s="10" t="inlineStr">
        <is>
          <t>Payback</t>
        </is>
      </c>
      <c r="F11" s="11" t="inlineStr">
        <is>
          <t>Payback under 12 months is the target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Revenue Forecast by Scenario</t>
        </is>
      </c>
    </row>
    <row r="2">
      <c r="A2" s="2" t="inlineStr">
        <is>
          <t>Annual recurring revenue at each growth stage, with cost and margin.</t>
        </is>
      </c>
    </row>
    <row r="4" ht="30" customHeight="1">
      <c r="A4" s="7" t="inlineStr">
        <is>
          <t>Metric</t>
        </is>
      </c>
      <c r="B4" s="7" t="inlineStr">
        <is>
          <t>10K users</t>
        </is>
      </c>
      <c r="C4" s="7" t="inlineStr">
        <is>
          <t>100K users</t>
        </is>
      </c>
      <c r="D4" s="7" t="inlineStr">
        <is>
          <t>1M users</t>
        </is>
      </c>
      <c r="E4" s="7" t="inlineStr">
        <is>
          <t>10M users</t>
        </is>
      </c>
    </row>
    <row r="5">
      <c r="A5" s="8" t="inlineStr">
        <is>
          <t>Registered users</t>
        </is>
      </c>
      <c r="B5" s="9" t="n">
        <v>10000</v>
      </c>
      <c r="C5" s="9" t="n">
        <v>100000</v>
      </c>
      <c r="D5" s="9" t="n">
        <v>1000000</v>
      </c>
      <c r="E5" s="9" t="n">
        <v>10000000</v>
      </c>
    </row>
    <row r="6">
      <c r="A6" s="8" t="inlineStr">
        <is>
          <t>Organizations</t>
        </is>
      </c>
      <c r="B6" s="19">
        <f>B5/2.2</f>
        <v/>
      </c>
      <c r="C6" s="19">
        <f>C5/2.2</f>
        <v/>
      </c>
      <c r="D6" s="19">
        <f>D5/2.2</f>
        <v/>
      </c>
      <c r="E6" s="19">
        <f>E5/2.2</f>
        <v/>
      </c>
    </row>
    <row r="7">
      <c r="A7" s="8" t="inlineStr">
        <is>
          <t>ARPU (INR/month)</t>
        </is>
      </c>
      <c r="B7" s="17">
        <f>Customers!$B$8</f>
        <v/>
      </c>
      <c r="C7" s="17">
        <f>Customers!$B$8</f>
        <v/>
      </c>
      <c r="D7" s="17">
        <f>Customers!$B$8</f>
        <v/>
      </c>
      <c r="E7" s="17">
        <f>Customers!$B$8</f>
        <v/>
      </c>
    </row>
    <row r="8">
      <c r="A8" s="8" t="inlineStr">
        <is>
          <t>MRR</t>
        </is>
      </c>
      <c r="B8" s="17">
        <f>B6*B7</f>
        <v/>
      </c>
      <c r="C8" s="17">
        <f>C6*C7</f>
        <v/>
      </c>
      <c r="D8" s="17">
        <f>D6*D7</f>
        <v/>
      </c>
      <c r="E8" s="17">
        <f>E6*E7</f>
        <v/>
      </c>
    </row>
    <row r="9">
      <c r="A9" s="8" t="inlineStr">
        <is>
          <t>ARR</t>
        </is>
      </c>
      <c r="B9" s="17">
        <f>B8*12</f>
        <v/>
      </c>
      <c r="C9" s="17">
        <f>C8*12</f>
        <v/>
      </c>
      <c r="D9" s="17">
        <f>D8*12</f>
        <v/>
      </c>
      <c r="E9" s="17">
        <f>E8*12</f>
        <v/>
      </c>
    </row>
    <row r="10">
      <c r="A10" s="8" t="inlineStr">
        <is>
          <t>Annual infrastructure</t>
        </is>
      </c>
      <c r="B10" s="14" t="n">
        <v>2217600</v>
      </c>
      <c r="C10" s="14" t="n">
        <v>22680000</v>
      </c>
      <c r="D10" s="14" t="n">
        <v>173376000</v>
      </c>
      <c r="E10" s="14" t="n">
        <v>1380960000</v>
      </c>
    </row>
    <row r="11">
      <c r="A11" s="8" t="inlineStr">
        <is>
          <t>Annual support (tooling)</t>
        </is>
      </c>
      <c r="B11" s="17">
        <f>B6*Assumptions!$B$29*12</f>
        <v/>
      </c>
      <c r="C11" s="17">
        <f>C6*Assumptions!$B$29*12</f>
        <v/>
      </c>
      <c r="D11" s="17">
        <f>D6*Assumptions!$B$29*12</f>
        <v/>
      </c>
      <c r="E11" s="17">
        <f>E6*Assumptions!$B$29*12</f>
        <v/>
      </c>
    </row>
    <row r="12">
      <c r="A12" s="8" t="inlineStr">
        <is>
          <t>Annual team</t>
        </is>
      </c>
      <c r="B12" s="14" t="n">
        <v>44000000</v>
      </c>
      <c r="C12" s="14" t="n">
        <v>90000000</v>
      </c>
      <c r="D12" s="14" t="n">
        <v>350000000</v>
      </c>
      <c r="E12" s="14" t="n">
        <v>1100000000</v>
      </c>
    </row>
    <row r="13">
      <c r="A13" s="8" t="inlineStr">
        <is>
          <t>Annual marketing</t>
        </is>
      </c>
      <c r="B13" s="14" t="n">
        <v>10000000</v>
      </c>
      <c r="C13" s="14" t="n">
        <v>60000000</v>
      </c>
      <c r="D13" s="14" t="n">
        <v>1900000000</v>
      </c>
      <c r="E13" s="14" t="n">
        <v>26000000000</v>
      </c>
    </row>
    <row r="14">
      <c r="A14" s="21" t="inlineStr">
        <is>
          <t>EBITDA</t>
        </is>
      </c>
      <c r="B14" s="22">
        <f>B9-B10-B11-B12-B13</f>
        <v/>
      </c>
      <c r="C14" s="22">
        <f>C9-C10-C11-C12-C13</f>
        <v/>
      </c>
      <c r="D14" s="22">
        <f>D9-D10-D11-D12-D13</f>
        <v/>
      </c>
      <c r="E14" s="22">
        <f>E9-E10-E11-E12-E13</f>
        <v/>
      </c>
    </row>
    <row r="15">
      <c r="A15" s="8" t="inlineStr">
        <is>
          <t>EBITDA margin</t>
        </is>
      </c>
      <c r="B15" s="32">
        <f>B14/B9</f>
        <v/>
      </c>
      <c r="C15" s="32">
        <f>C14/C9</f>
        <v/>
      </c>
      <c r="D15" s="32">
        <f>D14/D9</f>
        <v/>
      </c>
      <c r="E15" s="32">
        <f>E14/E9</f>
        <v/>
      </c>
    </row>
    <row r="16">
      <c r="A16" s="8" t="inlineStr">
        <is>
          <t>Gross margin (after infra + support)</t>
        </is>
      </c>
      <c r="B16" s="32">
        <f>(B9-B10-B11)/B9</f>
        <v/>
      </c>
      <c r="C16" s="32">
        <f>(C9-C10-C11)/C9</f>
        <v/>
      </c>
      <c r="D16" s="32">
        <f>(D9-D10-D11)/D9</f>
        <v/>
      </c>
      <c r="E16" s="32">
        <f>(E9-E10-E11)/E9</f>
        <v/>
      </c>
    </row>
    <row r="18">
      <c r="A18" s="18" t="inlineStr">
        <is>
          <t>Support here is tooling only; support salaries sit in the team line. If self-service adoption is weak, add ₹250/org/month to support and EBITDA falls by that amount × organizations.</t>
        </is>
      </c>
    </row>
  </sheetData>
  <mergeCells count="1"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2026-10-22T09:26:14Z</dcterms:created>
  <dcterms:modified xsi:type="dcterms:W3CDTF">2026-10-22T09:26:14Z</dcterms:modified>
</cp:coreProperties>
</file>